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comment1.xml" ContentType="application/vnd.openxmlformats-officedocument.spreadsheetml.comments+xml"/>
  <Override PartName="/xl/worksheets/sheet1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Dashboard" sheetId="2" state="visible" r:id="rId2"/>
    <sheet name="Weekly Data" sheetId="3" state="visible" r:id="rId3"/>
    <sheet name="Post Log" sheetId="4" state="visible" r:id="rId4"/>
    <sheet name="Audience" sheetId="5" state="visible" r:id="rId5"/>
    <sheet name="Diagnosis" sheetId="6" state="visible" r:id="rId6"/>
    <sheet name="Research Insights" sheetId="7" state="visible" r:id="rId7"/>
    <sheet name="Benchmarks" sheetId="8" state="visible" r:id="rId8"/>
    <sheet name="Action Plan" sheetId="9" state="visible" r:id="rId9"/>
    <sheet name="Content Calendar" sheetId="10" state="visible" r:id="rId10"/>
    <sheet name="Tracker" sheetId="11" state="visible" r:id="rId11"/>
    <sheet name="Sources &amp; Gaps" sheetId="12" state="visible" r:id="rId12"/>
  </sheets>
  <definedNames>
    <definedName name="_xlnm._FilterDatabase" localSheetId="6" hidden="1">'Research Insights'!$A$4:$H$57</definedName>
    <definedName name="_xlnm._FilterDatabase" localSheetId="8" hidden="1">'Action Plan'!$A$4:$I$22</definedName>
  </definedNames>
  <calcPr calcId="124519" fullCalcOnLoad="1"/>
</workbook>
</file>

<file path=xl/styles.xml><?xml version="1.0" encoding="utf-8"?>
<styleSheet xmlns="http://schemas.openxmlformats.org/spreadsheetml/2006/main">
  <numFmts count="7">
    <numFmt numFmtId="164" formatCode="yyyy-mm-dd"/>
    <numFmt numFmtId="165" formatCode="dd-mmm-yy"/>
    <numFmt numFmtId="166" formatCode="0.0%"/>
    <numFmt numFmtId="167" formatCode="0.0&quot;x&quot;"/>
    <numFmt numFmtId="168" formatCode="+0%;-0%;0%"/>
    <numFmt numFmtId="169" formatCode="dd-mmm"/>
    <numFmt numFmtId="170" formatCode="+#,##0;-#,##0;0"/>
  </numFmts>
  <fonts count="16">
    <font>
      <name val="Calibri"/>
      <family val="2"/>
      <color theme="1"/>
      <sz val="11"/>
      <scheme val="minor"/>
    </font>
    <font>
      <name val="Arial"/>
      <b val="1"/>
      <color rgb="00FFFFFF"/>
      <sz val="16"/>
    </font>
    <font>
      <name val="Arial"/>
      <i val="1"/>
      <color rgb="00595959"/>
      <sz val="10"/>
    </font>
    <font>
      <name val="Arial"/>
      <b val="1"/>
      <color rgb="00FFFFFF"/>
      <sz val="12"/>
    </font>
    <font>
      <name val="Arial"/>
      <sz val="11"/>
    </font>
    <font>
      <name val="Arial"/>
      <b val="1"/>
      <color rgb="00FFFFFF"/>
      <sz val="10"/>
    </font>
    <font>
      <name val="Arial"/>
      <b val="1"/>
      <sz val="10"/>
    </font>
    <font>
      <name val="Arial"/>
      <b val="1"/>
      <color rgb="002E75B6"/>
      <sz val="10"/>
      <u val="single"/>
    </font>
    <font>
      <name val="Arial"/>
      <sz val="10"/>
    </font>
    <font>
      <name val="Arial"/>
      <i val="1"/>
      <color rgb="00595959"/>
      <sz val="9"/>
    </font>
    <font>
      <name val="Arial"/>
      <b val="1"/>
      <color rgb="00FFFFFF"/>
      <sz val="9"/>
    </font>
    <font>
      <name val="Arial"/>
      <b val="1"/>
      <color rgb="001F3864"/>
      <sz val="20"/>
    </font>
    <font>
      <name val="Arial"/>
      <i val="1"/>
      <color rgb="00595959"/>
      <sz val="8"/>
    </font>
    <font>
      <name val="Arial"/>
      <color rgb="002E75B6"/>
      <sz val="10"/>
      <u val="single"/>
    </font>
    <font>
      <name val="Arial"/>
      <b val="1"/>
      <color rgb="001F3864"/>
      <sz val="10"/>
    </font>
    <font>
      <name val="Arial"/>
      <i val="1"/>
      <sz val="10"/>
    </font>
  </fonts>
  <fills count="20">
    <fill>
      <patternFill/>
    </fill>
    <fill>
      <patternFill patternType="gray125"/>
    </fill>
    <fill>
      <patternFill patternType="solid">
        <fgColor rgb="001F3864"/>
        <bgColor rgb="001F3864"/>
      </patternFill>
    </fill>
    <fill>
      <patternFill patternType="solid">
        <fgColor rgb="000F766E"/>
        <bgColor rgb="000F766E"/>
      </patternFill>
    </fill>
    <fill>
      <patternFill patternType="solid">
        <fgColor rgb="00F3F6FA"/>
        <bgColor rgb="00F3F6FA"/>
      </patternFill>
    </fill>
    <fill>
      <patternFill patternType="solid">
        <fgColor rgb="002E75B6"/>
        <bgColor rgb="002E75B6"/>
      </patternFill>
    </fill>
    <fill>
      <patternFill patternType="solid">
        <fgColor rgb="00E2F0D9"/>
        <bgColor rgb="00E2F0D9"/>
      </patternFill>
    </fill>
    <fill>
      <patternFill patternType="solid">
        <fgColor rgb="00EDEDED"/>
        <bgColor rgb="00EDEDED"/>
      </patternFill>
    </fill>
    <fill>
      <patternFill patternType="solid">
        <fgColor rgb="00FFF2CC"/>
        <bgColor rgb="00FFF2CC"/>
      </patternFill>
    </fill>
    <fill>
      <patternFill patternType="solid">
        <fgColor rgb="00C6E0B4"/>
        <bgColor rgb="00C6E0B4"/>
      </patternFill>
    </fill>
    <fill>
      <patternFill patternType="solid">
        <fgColor rgb="00FFE699"/>
        <bgColor rgb="00FFE699"/>
      </patternFill>
    </fill>
    <fill>
      <patternFill patternType="solid">
        <fgColor rgb="00F8CBAD"/>
        <bgColor rgb="00F8CBAD"/>
      </patternFill>
    </fill>
    <fill>
      <patternFill patternType="solid">
        <fgColor rgb="00C00000"/>
        <bgColor rgb="00C00000"/>
      </patternFill>
    </fill>
    <fill>
      <patternFill patternType="solid">
        <fgColor rgb="00FBE5D6"/>
        <bgColor rgb="00FBE5D6"/>
      </patternFill>
    </fill>
    <fill>
      <patternFill patternType="solid">
        <fgColor rgb="00DDEBF7"/>
        <bgColor rgb="00DDEBF7"/>
      </patternFill>
    </fill>
    <fill>
      <patternFill patternType="solid">
        <fgColor rgb="00E2EFDA"/>
        <bgColor rgb="00E2EFDA"/>
      </patternFill>
    </fill>
    <fill>
      <patternFill patternType="solid">
        <fgColor rgb="00FCE4D6"/>
        <bgColor rgb="00FCE4D6"/>
      </patternFill>
    </fill>
    <fill>
      <patternFill patternType="solid">
        <fgColor rgb="00EAD1F5"/>
        <bgColor rgb="00EAD1F5"/>
      </patternFill>
    </fill>
    <fill>
      <patternFill patternType="solid">
        <fgColor rgb="00D9E1F2"/>
        <bgColor rgb="00D9E1F2"/>
      </patternFill>
    </fill>
    <fill>
      <patternFill patternType="solid">
        <fgColor rgb="00DEEAF6"/>
        <bgColor rgb="00DEEAF6"/>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67">
    <xf numFmtId="0" fontId="0" fillId="0" borderId="0" pivotButton="0" quotePrefix="0" xfId="0"/>
    <xf numFmtId="0" fontId="1" fillId="2" borderId="0" applyAlignment="1" pivotButton="0" quotePrefix="0" xfId="0">
      <alignment vertical="center" indent="1"/>
    </xf>
    <xf numFmtId="0" fontId="2" fillId="0" borderId="0" applyAlignment="1" pivotButton="0" quotePrefix="0" xfId="0">
      <alignment vertical="top" wrapText="1" indent="1"/>
    </xf>
    <xf numFmtId="0" fontId="3" fillId="3" borderId="0" applyAlignment="1" pivotButton="0" quotePrefix="0" xfId="0">
      <alignment vertical="center" indent="1"/>
    </xf>
    <xf numFmtId="0" fontId="4" fillId="4" borderId="0" applyAlignment="1" pivotButton="0" quotePrefix="0" xfId="0">
      <alignment vertical="center" wrapText="1" indent="1"/>
    </xf>
    <xf numFmtId="0" fontId="5" fillId="5" borderId="1" applyAlignment="1" pivotButton="0" quotePrefix="0" xfId="0">
      <alignment horizontal="center" vertical="center" wrapText="1"/>
    </xf>
    <xf numFmtId="0" fontId="7" fillId="0" borderId="1" applyAlignment="1" pivotButton="0" quotePrefix="0" xfId="0">
      <alignment vertical="top" wrapText="1"/>
    </xf>
    <xf numFmtId="0" fontId="8" fillId="0" borderId="1" applyAlignment="1" pivotButton="0" quotePrefix="0" xfId="0">
      <alignment vertical="top" wrapText="1"/>
    </xf>
    <xf numFmtId="0" fontId="6" fillId="6" borderId="1" applyAlignment="1" pivotButton="0" quotePrefix="0" xfId="0">
      <alignment vertical="top" wrapText="1"/>
    </xf>
    <xf numFmtId="0" fontId="0" fillId="0" borderId="4" pivotButton="0" quotePrefix="0" xfId="0"/>
    <xf numFmtId="0" fontId="0" fillId="0" borderId="5" pivotButton="0" quotePrefix="0" xfId="0"/>
    <xf numFmtId="0" fontId="6" fillId="7" borderId="1" applyAlignment="1" pivotButton="0" quotePrefix="0" xfId="0">
      <alignment vertical="top" wrapText="1"/>
    </xf>
    <xf numFmtId="0" fontId="6" fillId="8" borderId="1" applyAlignment="1" pivotButton="0" quotePrefix="0" xfId="0">
      <alignment vertical="top" wrapText="1"/>
    </xf>
    <xf numFmtId="0" fontId="6" fillId="9" borderId="1" applyAlignment="1" pivotButton="0" quotePrefix="0" xfId="0">
      <alignment vertical="top" wrapText="1"/>
    </xf>
    <xf numFmtId="0" fontId="6" fillId="10" borderId="1" applyAlignment="1" pivotButton="0" quotePrefix="0" xfId="0">
      <alignment vertical="top" wrapText="1"/>
    </xf>
    <xf numFmtId="0" fontId="6" fillId="11" borderId="1" applyAlignment="1" pivotButton="0" quotePrefix="0" xfId="0">
      <alignment vertical="top" wrapText="1"/>
    </xf>
    <xf numFmtId="0" fontId="3" fillId="12" borderId="0" applyAlignment="1" pivotButton="0" quotePrefix="0" xfId="0">
      <alignment vertical="center" indent="1"/>
    </xf>
    <xf numFmtId="0" fontId="8" fillId="13" borderId="0" applyAlignment="1" pivotButton="0" quotePrefix="0" xfId="0">
      <alignment vertical="top" wrapText="1" indent="1"/>
    </xf>
    <xf numFmtId="0" fontId="10" fillId="2" borderId="0" applyAlignment="1" pivotButton="0" quotePrefix="0" xfId="0">
      <alignment horizontal="center" vertical="center" wrapText="1"/>
    </xf>
    <xf numFmtId="3" fontId="11" fillId="4" borderId="0" applyAlignment="1" pivotButton="0" quotePrefix="0" xfId="0">
      <alignment horizontal="center" vertical="center" wrapText="1"/>
    </xf>
    <xf numFmtId="1" fontId="11" fillId="4" borderId="0" applyAlignment="1" pivotButton="0" quotePrefix="0" xfId="0">
      <alignment horizontal="center" vertical="center" wrapText="1"/>
    </xf>
    <xf numFmtId="166" fontId="11" fillId="4" borderId="0" applyAlignment="1" pivotButton="0" quotePrefix="0" xfId="0">
      <alignment horizontal="center" vertical="center" wrapText="1"/>
    </xf>
    <xf numFmtId="0" fontId="12" fillId="4" borderId="0" applyAlignment="1" pivotButton="0" quotePrefix="0" xfId="0">
      <alignment horizontal="center" vertical="center" wrapText="1"/>
    </xf>
    <xf numFmtId="167" fontId="11" fillId="4" borderId="0" applyAlignment="1" pivotButton="0" quotePrefix="0" xfId="0">
      <alignment horizontal="center" vertical="center" wrapText="1"/>
    </xf>
    <xf numFmtId="0" fontId="6" fillId="0" borderId="1" applyAlignment="1" pivotButton="0" quotePrefix="0" xfId="0">
      <alignment vertical="top" wrapText="1"/>
    </xf>
    <xf numFmtId="3" fontId="8" fillId="0" borderId="1" applyAlignment="1" pivotButton="0" quotePrefix="0" xfId="0">
      <alignment horizontal="center" vertical="center" wrapText="1"/>
    </xf>
    <xf numFmtId="168" fontId="8" fillId="0" borderId="1" applyAlignment="1" pivotButton="0" quotePrefix="0" xfId="0">
      <alignment horizontal="center" vertical="center" wrapText="1"/>
    </xf>
    <xf numFmtId="0" fontId="8" fillId="0" borderId="1" applyAlignment="1" pivotButton="0" quotePrefix="0" xfId="0">
      <alignment horizontal="center" vertical="center" wrapText="1"/>
    </xf>
    <xf numFmtId="1" fontId="8" fillId="0" borderId="1" applyAlignment="1" pivotButton="0" quotePrefix="0" xfId="0">
      <alignment horizontal="center" vertical="center" wrapText="1"/>
    </xf>
    <xf numFmtId="166" fontId="8" fillId="0" borderId="1" applyAlignment="1" pivotButton="0" quotePrefix="0" xfId="0">
      <alignment horizontal="center" vertical="center" wrapText="1"/>
    </xf>
    <xf numFmtId="2" fontId="8" fillId="0" borderId="1" applyAlignment="1" pivotButton="0" quotePrefix="0" xfId="0">
      <alignment horizontal="center" vertical="center" wrapText="1"/>
    </xf>
    <xf numFmtId="165" fontId="8" fillId="0" borderId="1" applyAlignment="1" pivotButton="0" quotePrefix="0" xfId="0">
      <alignment horizontal="center" vertical="center" wrapText="1"/>
    </xf>
    <xf numFmtId="0" fontId="6" fillId="14" borderId="1" applyAlignment="1" pivotButton="0" quotePrefix="0" xfId="0">
      <alignment horizontal="center" vertical="center" wrapText="1"/>
    </xf>
    <xf numFmtId="3" fontId="6" fillId="14" borderId="1" applyAlignment="1" pivotButton="0" quotePrefix="0" xfId="0">
      <alignment horizontal="center" vertical="center" wrapText="1"/>
    </xf>
    <xf numFmtId="166" fontId="6" fillId="14" borderId="1" applyAlignment="1" pivotButton="0" quotePrefix="0" xfId="0">
      <alignment horizontal="center" vertical="center" wrapText="1"/>
    </xf>
    <xf numFmtId="0" fontId="9" fillId="0" borderId="0" applyAlignment="1" pivotButton="0" quotePrefix="0" xfId="0">
      <alignment vertical="top" wrapText="1"/>
    </xf>
    <xf numFmtId="0" fontId="8" fillId="6" borderId="1" applyAlignment="1" pivotButton="0" quotePrefix="0" xfId="0">
      <alignment horizontal="center" vertical="center" wrapText="1"/>
    </xf>
    <xf numFmtId="165" fontId="8" fillId="6" borderId="1" applyAlignment="1" pivotButton="0" quotePrefix="0" xfId="0">
      <alignment horizontal="center" vertical="center" wrapText="1"/>
    </xf>
    <xf numFmtId="0" fontId="8" fillId="6" borderId="1" applyAlignment="1" pivotButton="0" quotePrefix="0" xfId="0">
      <alignment vertical="top" wrapText="1"/>
    </xf>
    <xf numFmtId="3" fontId="8" fillId="6" borderId="1" applyAlignment="1" pivotButton="0" quotePrefix="0" xfId="0">
      <alignment horizontal="center" vertical="center" wrapText="1"/>
    </xf>
    <xf numFmtId="166" fontId="8" fillId="6" borderId="1" applyAlignment="1" pivotButton="0" quotePrefix="0" xfId="0">
      <alignment horizontal="center" vertical="center" wrapText="1"/>
    </xf>
    <xf numFmtId="165" fontId="8" fillId="8" borderId="1" applyAlignment="1" pivotButton="0" quotePrefix="0" xfId="0">
      <alignment horizontal="center" vertical="center" wrapText="1"/>
    </xf>
    <xf numFmtId="0" fontId="8" fillId="8" borderId="1" applyAlignment="1" pivotButton="0" quotePrefix="0" xfId="0">
      <alignment vertical="top" wrapText="1"/>
    </xf>
    <xf numFmtId="0" fontId="8" fillId="8" borderId="1" applyAlignment="1" pivotButton="0" quotePrefix="0" xfId="0">
      <alignment horizontal="center" vertical="center" wrapText="1"/>
    </xf>
    <xf numFmtId="3" fontId="8" fillId="8" borderId="1" applyAlignment="1" pivotButton="0" quotePrefix="0" xfId="0">
      <alignment horizontal="center" vertical="center" wrapText="1"/>
    </xf>
    <xf numFmtId="0" fontId="9" fillId="0" borderId="0" pivotButton="0" quotePrefix="0" xfId="0"/>
    <xf numFmtId="0" fontId="6" fillId="0" borderId="1" applyAlignment="1" pivotButton="0" quotePrefix="0" xfId="0">
      <alignment horizontal="center" vertical="center" wrapText="1"/>
    </xf>
    <xf numFmtId="0" fontId="13" fillId="0" borderId="1" applyAlignment="1" pivotButton="0" quotePrefix="0" xfId="0">
      <alignment horizontal="center" vertical="center" wrapText="1"/>
    </xf>
    <xf numFmtId="0" fontId="6" fillId="15" borderId="1" applyAlignment="1" pivotButton="0" quotePrefix="0" xfId="0">
      <alignment horizontal="center" vertical="center" wrapText="1"/>
    </xf>
    <xf numFmtId="0" fontId="6" fillId="16" borderId="1" applyAlignment="1" pivotButton="0" quotePrefix="0" xfId="0">
      <alignment horizontal="center" vertical="center" wrapText="1"/>
    </xf>
    <xf numFmtId="0" fontId="6" fillId="17" borderId="1" applyAlignment="1" pivotButton="0" quotePrefix="0" xfId="0">
      <alignment horizontal="center" vertical="center" wrapText="1"/>
    </xf>
    <xf numFmtId="0" fontId="6" fillId="8" borderId="1" applyAlignment="1" pivotButton="0" quotePrefix="0" xfId="0">
      <alignment horizontal="center" vertical="center" wrapText="1"/>
    </xf>
    <xf numFmtId="0" fontId="6" fillId="18" borderId="1" applyAlignment="1" pivotButton="0" quotePrefix="0" xfId="0">
      <alignment horizontal="center" vertical="center" wrapText="1"/>
    </xf>
    <xf numFmtId="0" fontId="6" fillId="19" borderId="1" applyAlignment="1" pivotButton="0" quotePrefix="0" xfId="0">
      <alignment horizontal="center" vertical="center" wrapText="1"/>
    </xf>
    <xf numFmtId="0" fontId="6" fillId="0" borderId="0" pivotButton="0" quotePrefix="0" xfId="0"/>
    <xf numFmtId="0" fontId="14" fillId="0" borderId="0" pivotButton="0" quotePrefix="0" xfId="0"/>
    <xf numFmtId="9" fontId="0" fillId="0" borderId="0" pivotButton="0" quotePrefix="0" xfId="0"/>
    <xf numFmtId="169" fontId="8" fillId="0" borderId="1" applyAlignment="1" pivotButton="0" quotePrefix="0" xfId="0">
      <alignment horizontal="center" vertical="center" wrapText="1"/>
    </xf>
    <xf numFmtId="0" fontId="8" fillId="14" borderId="1" applyAlignment="1" pivotButton="0" quotePrefix="0" xfId="0">
      <alignment vertical="top" wrapText="1"/>
    </xf>
    <xf numFmtId="0" fontId="8" fillId="15" borderId="1" applyAlignment="1" pivotButton="0" quotePrefix="0" xfId="0">
      <alignment vertical="top" wrapText="1"/>
    </xf>
    <xf numFmtId="0" fontId="8" fillId="17" borderId="1" applyAlignment="1" pivotButton="0" quotePrefix="0" xfId="0">
      <alignment vertical="top" wrapText="1"/>
    </xf>
    <xf numFmtId="0" fontId="8" fillId="4" borderId="1" applyAlignment="1" pivotButton="0" quotePrefix="0" xfId="0">
      <alignment horizontal="center" vertical="center" wrapText="1"/>
    </xf>
    <xf numFmtId="169" fontId="8" fillId="4" borderId="1" applyAlignment="1" pivotButton="0" quotePrefix="0" xfId="0">
      <alignment horizontal="center" vertical="center" wrapText="1"/>
    </xf>
    <xf numFmtId="0" fontId="8" fillId="4" borderId="1" applyAlignment="1" pivotButton="0" quotePrefix="0" xfId="0">
      <alignment vertical="top" wrapText="1"/>
    </xf>
    <xf numFmtId="0" fontId="8" fillId="16" borderId="1" applyAlignment="1" pivotButton="0" quotePrefix="0" xfId="0">
      <alignment vertical="top" wrapText="1"/>
    </xf>
    <xf numFmtId="0" fontId="8" fillId="7" borderId="1" applyAlignment="1" pivotButton="0" quotePrefix="0" xfId="0">
      <alignment vertical="top" wrapText="1"/>
    </xf>
    <xf numFmtId="170" fontId="15" fillId="0" borderId="1" applyAlignment="1" pivotButton="0" quotePrefix="0" xfId="0">
      <alignment horizontal="center" vertical="center" wrapText="1"/>
    </xf>
  </cellXfs>
  <cellStyles count="1">
    <cellStyle name="Normal" xfId="0" builtinId="0" hidden="0"/>
  </cellStyles>
  <dxfs count="7">
    <dxf>
      <fill>
        <patternFill patternType="solid">
          <fgColor rgb="00F8CBAD"/>
          <bgColor rgb="00F8CBAD"/>
        </patternFill>
      </fill>
    </dxf>
    <dxf>
      <fill>
        <patternFill patternType="solid">
          <fgColor rgb="00FFE699"/>
          <bgColor rgb="00FFE699"/>
        </patternFill>
      </fill>
    </dxf>
    <dxf>
      <fill>
        <patternFill patternType="solid">
          <fgColor rgb="00C6E0B4"/>
          <bgColor rgb="00C6E0B4"/>
        </patternFill>
      </fill>
    </dxf>
    <dxf>
      <fill>
        <patternFill patternType="solid">
          <fgColor rgb="00E2F0D9"/>
          <bgColor rgb="00E2F0D9"/>
        </patternFill>
      </fill>
    </dxf>
    <dxf>
      <fill>
        <patternFill patternType="solid">
          <fgColor rgb="00EDEDED"/>
          <bgColor rgb="00EDEDED"/>
        </patternFill>
      </fill>
    </dxf>
    <dxf>
      <font>
        <name val="Arial"/>
        <b val="1"/>
        <color rgb="00006100"/>
      </font>
    </dxf>
    <dxf>
      <fill>
        <patternFill patternType="solid">
          <fgColor rgb="00DDEBF7"/>
          <bgColor rgb="00DDEBF7"/>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harts/chart1.xml><?xml version="1.0" encoding="utf-8"?>
<chartSpace xmlns:a="http://schemas.openxmlformats.org/drawingml/2006/main" xmlns="http://schemas.openxmlformats.org/drawingml/2006/chart">
  <style val="10"/>
  <chart>
    <title>
      <tx>
        <rich>
          <a:bodyPr/>
          <a:p>
            <a:pPr>
              <a:defRPr/>
            </a:pPr>
            <a:r>
              <a:t>Impressions per week</a:t>
            </a:r>
          </a:p>
        </rich>
      </tx>
    </title>
    <plotArea>
      <barChart>
        <barDir val="col"/>
        <grouping val="clustered"/>
        <ser>
          <idx val="0"/>
          <order val="0"/>
          <tx>
            <strRef>
              <f>'Weekly Data'!D4</f>
            </strRef>
          </tx>
          <spPr>
            <a:solidFill>
              <a:srgbClr val="2E75B6"/>
            </a:solidFill>
            <a:ln>
              <a:prstDash val="solid"/>
            </a:ln>
          </spPr>
          <cat>
            <numRef>
              <f>'Weekly Data'!$A$5:$A$32</f>
            </numRef>
          </cat>
          <val>
            <numRef>
              <f>'Weekly Data'!$D$5:$D$32</f>
            </numRef>
          </val>
        </ser>
        <dLbls>
          <showVal val="1"/>
        </dLbls>
        <gapWidth val="150"/>
        <axId val="10"/>
        <axId val="100"/>
      </barChart>
      <catAx>
        <axId val="10"/>
        <scaling>
          <orientation val="minMax"/>
        </scaling>
        <delete val="0"/>
        <axPos val="l"/>
        <title>
          <tx>
            <rich>
              <a:bodyPr/>
              <a:p>
                <a:pPr>
                  <a:defRPr/>
                </a:pPr>
                <a:r>
                  <a:t>Week starting</a:t>
                </a:r>
              </a:p>
            </rich>
          </tx>
        </title>
        <numFmt formatCode="dd-mmm" sourceLinked="0"/>
        <majorTickMark val="none"/>
        <minorTickMark val="none"/>
        <crossAx val="100"/>
        <lblOffset val="100"/>
      </catAx>
      <valAx>
        <axId val="100"/>
        <scaling>
          <orientation val="minMax"/>
        </scaling>
        <delete val="0"/>
        <axPos val="l"/>
        <majorGridlines/>
        <title>
          <tx>
            <rich>
              <a:bodyPr/>
              <a:p>
                <a:pPr>
                  <a:defRPr/>
                </a:pPr>
                <a:r>
                  <a:t>Impressions</a:t>
                </a:r>
              </a:p>
            </rich>
          </tx>
        </title>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Q1 vs Q2: impressions, reactions, comments</a:t>
            </a:r>
          </a:p>
        </rich>
      </tx>
    </title>
    <plotArea>
      <barChart>
        <barDir val="col"/>
        <grouping val="clustered"/>
        <ser>
          <idx val="0"/>
          <order val="0"/>
          <tx>
            <strRef>
              <f>'Dashboard'!B14</f>
            </strRef>
          </tx>
          <spPr>
            <a:ln>
              <a:prstDash val="solid"/>
            </a:ln>
          </spPr>
          <cat>
            <numRef>
              <f>'Dashboard'!$A$15:$A$17</f>
            </numRef>
          </cat>
          <val>
            <numRef>
              <f>'Dashboard'!$B$15:$B$17</f>
            </numRef>
          </val>
        </ser>
        <ser>
          <idx val="1"/>
          <order val="1"/>
          <tx>
            <strRef>
              <f>'Dashboard'!C14</f>
            </strRef>
          </tx>
          <spPr>
            <a:ln>
              <a:prstDash val="solid"/>
            </a:ln>
          </spPr>
          <cat>
            <numRef>
              <f>'Dashboard'!$A$15:$A$17</f>
            </numRef>
          </cat>
          <val>
            <numRef>
              <f>'Dashboard'!$C$15:$C$17</f>
            </numRef>
          </val>
        </ser>
        <dLbls>
          <showVal val="1"/>
        </dLbls>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majorTickMark val="none"/>
        <minorTickMark val="none"/>
        <crossAx val="10"/>
      </valAx>
    </plotArea>
    <legend>
      <legendPos val="r"/>
    </legend>
    <plotVisOnly val="1"/>
    <dispBlanksAs val="gap"/>
  </chart>
</chartSpace>
</file>

<file path=xl/comments/comment1.xml><?xml version="1.0" encoding="utf-8"?>
<comments xmlns="http://schemas.openxmlformats.org/spreadsheetml/2006/main">
  <authors>
    <author>Analyst</author>
  </authors>
  <commentList>
    <comment ref="A5" authorId="0" shapeId="0">
      <text>
        <t>Targets: 3 posts/week (Buffer); 400 impressions/post sits just above the 1K to 5K median of 388 (MagicPost); 3.5% engagement is a strong result vs 2.56% median (AuthoredUp). Edit these to raise the bar.</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30</row>
      <rowOff>0</rowOff>
    </from>
    <ext cx="9360000" cy="2880000"/>
    <graphicFrame>
      <nvGraphicFramePr>
        <cNvPr id="1" name="Chart 1"/>
        <cNvGraphicFramePr/>
      </nvGraphicFramePr>
      <xfrm/>
      <a:graphic>
        <a:graphicData uri="http://schemas.openxmlformats.org/drawingml/2006/chart">
          <c:chart r:id="rId1"/>
        </a:graphicData>
      </a:graphic>
    </graphicFrame>
    <clientData/>
  </oneCellAnchor>
  <oneCellAnchor>
    <from>
      <col>0</col>
      <colOff>0</colOff>
      <row>47</row>
      <rowOff>0</rowOff>
    </from>
    <ext cx="9360000" cy="288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Dashboard'!A1" TargetMode="External" Id="rId1" /><Relationship Type="http://schemas.openxmlformats.org/officeDocument/2006/relationships/hyperlink" Target="#'Weekly Data'!A1" TargetMode="External" Id="rId2" /><Relationship Type="http://schemas.openxmlformats.org/officeDocument/2006/relationships/hyperlink" Target="#'Post Log'!A1" TargetMode="External" Id="rId3" /><Relationship Type="http://schemas.openxmlformats.org/officeDocument/2006/relationships/hyperlink" Target="#'Audience'!A1" TargetMode="External" Id="rId4" /><Relationship Type="http://schemas.openxmlformats.org/officeDocument/2006/relationships/hyperlink" Target="#'Diagnosis'!A1" TargetMode="External" Id="rId5" /><Relationship Type="http://schemas.openxmlformats.org/officeDocument/2006/relationships/hyperlink" Target="#'Research Insights'!A1" TargetMode="External" Id="rId6" /><Relationship Type="http://schemas.openxmlformats.org/officeDocument/2006/relationships/hyperlink" Target="#'Benchmarks'!A1" TargetMode="External" Id="rId7" /><Relationship Type="http://schemas.openxmlformats.org/officeDocument/2006/relationships/hyperlink" Target="#'Action Plan'!A1" TargetMode="External" Id="rId8" /><Relationship Type="http://schemas.openxmlformats.org/officeDocument/2006/relationships/hyperlink" Target="#'Content Calendar'!A1" TargetMode="External" Id="rId9" /><Relationship Type="http://schemas.openxmlformats.org/officeDocument/2006/relationships/hyperlink" Target="#'Tracker'!A1" TargetMode="External" Id="rId10" /><Relationship Type="http://schemas.openxmlformats.org/officeDocument/2006/relationships/hyperlink" Target="#'Sources &amp; Gaps'!A1" TargetMode="External" Id="rId11" /></Relationships>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7.xml.rels><Relationships xmlns="http://schemas.openxmlformats.org/package/2006/relationships"><Relationship Type="http://schemas.openxmlformats.org/officeDocument/2006/relationships/hyperlink" Target="https://siecledigital.fr/2025/11/03/pourquoi-les-publications-linkedin-font-de-moins-en-moins-de-vues-et-ce-que-lalgorithme-change/" TargetMode="External" Id="rId1" /><Relationship Type="http://schemas.openxmlformats.org/officeDocument/2006/relationships/hyperlink" Target="https://arxiv.org/pdf/2501.16450" TargetMode="External" Id="rId2" /><Relationship Type="http://schemas.openxmlformats.org/officeDocument/2006/relationships/hyperlink" Target="https://searchengineland.com/linkedin-updates-feed-algorithm-llm-ranking-retrieval-471708" TargetMode="External" Id="rId3" /><Relationship Type="http://schemas.openxmlformats.org/officeDocument/2006/relationships/hyperlink" Target="https://herdl.com/linkedin-is-rebuilding-its-feed-using-an-llm-based-retrieval-system/" TargetMode="External" Id="rId4" /><Relationship Type="http://schemas.openxmlformats.org/officeDocument/2006/relationships/hyperlink" Target="https://contentin.io/blog/linkedin-algorithm-2025-why-your-reach-dropped-how-to-win-in-2026/" TargetMode="External" Id="rId5" /><Relationship Type="http://schemas.openxmlformats.org/officeDocument/2006/relationships/hyperlink" Target="https://melaniegoodmanlinkedinconsultant.substack.com/p/beat-the-linkedin-algorithm-2025" TargetMode="External" Id="rId6" /><Relationship Type="http://schemas.openxmlformats.org/officeDocument/2006/relationships/hyperlink" Target="https://melaniegoodmanlinkedinconsultant.substack.com/p/beat-the-linkedin-algorithm-2025" TargetMode="External" Id="rId7" /><Relationship Type="http://schemas.openxmlformats.org/officeDocument/2006/relationships/hyperlink" Target="https://contentin.io/blog/linkedin-algorithm-2025-the-complete-content-format-strategy-guide/" TargetMode="External" Id="rId8" /><Relationship Type="http://schemas.openxmlformats.org/officeDocument/2006/relationships/hyperlink" Target="https://www.tryordinal.com/blog/linkedin-link-penalty-study" TargetMode="External" Id="rId9" /><Relationship Type="http://schemas.openxmlformats.org/officeDocument/2006/relationships/hyperlink" Target="https://www.searchenginejournal.com/linkedin-study-finds-adding-links-boosts-engagement-by-13/544524/" TargetMode="External" Id="rId10" /><Relationship Type="http://schemas.openxmlformats.org/officeDocument/2006/relationships/hyperlink" Target="https://ligosocial.com/research/do-hashtags-work-on-linkedin" TargetMode="External" Id="rId11" /><Relationship Type="http://schemas.openxmlformats.org/officeDocument/2006/relationships/hyperlink" Target="https://connectsafely.ai/articles/does-editing-linkedin-post-affect-reach-2026" TargetMode="External" Id="rId12" /><Relationship Type="http://schemas.openxmlformats.org/officeDocument/2006/relationships/hyperlink" Target="https://www.socialmediatoday.com/news/linkedin-outlines-more-measures-to-combat-engagement-pods/812290/" TargetMode="External" Id="rId13" /><Relationship Type="http://schemas.openxmlformats.org/officeDocument/2006/relationships/hyperlink" Target="https://carta.com/data/linkedin-linkedin-shadow-banned-myth/" TargetMode="External" Id="rId14" /><Relationship Type="http://schemas.openxmlformats.org/officeDocument/2006/relationships/hyperlink" Target="https://www.socialinsider.io/blog/linkedin-content-study/" TargetMode="External" Id="rId15" /><Relationship Type="http://schemas.openxmlformats.org/officeDocument/2006/relationships/hyperlink" Target="https://marketing4ecommerce.net/en/carousels-dominate-linkedin/" TargetMode="External" Id="rId16" /><Relationship Type="http://schemas.openxmlformats.org/officeDocument/2006/relationships/hyperlink" Target="https://techcrunch.com/2025/02/04/linkedin-amps-up-vertical-video-tools-as-uploads-jump-36" TargetMode="External" Id="rId17" /><Relationship Type="http://schemas.openxmlformats.org/officeDocument/2006/relationships/hyperlink" Target="https://siecledigital.fr/2025/11/03/pourquoi-les-publications-linkedin-font-de-moins-en-moins-de-vues-et-ce-que-lalgorithme-change/" TargetMode="External" Id="rId18" /><Relationship Type="http://schemas.openxmlformats.org/officeDocument/2006/relationships/hyperlink" Target="https://contentin.io/blog/linkedin-algorithm-2025-the-complete-content-format-strategy-guide/" TargetMode="External" Id="rId19" /><Relationship Type="http://schemas.openxmlformats.org/officeDocument/2006/relationships/hyperlink" Target="https://www.mediashower.com/blog/create-a-linkedin-carousel/" TargetMode="External" Id="rId20" /><Relationship Type="http://schemas.openxmlformats.org/officeDocument/2006/relationships/hyperlink" Target="https://authoredup.com/blog/linkedin-articles-vs-posts" TargetMode="External" Id="rId21" /><Relationship Type="http://schemas.openxmlformats.org/officeDocument/2006/relationships/hyperlink" Target="https://ppc.land/linkedin-outlines-seven-promotion-tactics-for-newsletter-subscriber-growth/" TargetMode="External" Id="rId22" /><Relationship Type="http://schemas.openxmlformats.org/officeDocument/2006/relationships/hyperlink" Target="https://authoredup.com/blog/linkedin-metrics-to-track" TargetMode="External" Id="rId23" /><Relationship Type="http://schemas.openxmlformats.org/officeDocument/2006/relationships/hyperlink" Target="https://magicpost.in/linkedin-benchmark/june-2026" TargetMode="External" Id="rId24" /><Relationship Type="http://schemas.openxmlformats.org/officeDocument/2006/relationships/hyperlink" Target="https://theshieldindex.beehiiv.com/p/february-2026-linkedin-reach-benchmarks-by-follower-bracket" TargetMode="External" Id="rId25" /><Relationship Type="http://schemas.openxmlformats.org/officeDocument/2006/relationships/hyperlink" Target="https://www.revboss.com/founder-led-marketing-benchmarks" TargetMode="External" Id="rId26" /><Relationship Type="http://schemas.openxmlformats.org/officeDocument/2006/relationships/hyperlink" Target="https://buffer.com/resources/how-often-to-post-on-linkedin/" TargetMode="External" Id="rId27" /><Relationship Type="http://schemas.openxmlformats.org/officeDocument/2006/relationships/hyperlink" Target="https://metricool.com/press-release-linkedin-study-2026/" TargetMode="External" Id="rId28" /><Relationship Type="http://schemas.openxmlformats.org/officeDocument/2006/relationships/hyperlink" Target="https://metricool.com/press-release-linkedin-study-2026/" TargetMode="External" Id="rId29" /><Relationship Type="http://schemas.openxmlformats.org/officeDocument/2006/relationships/hyperlink" Target="https://www.favikon.com/favlab/linkedin-engagement-rate-benchmark" TargetMode="External" Id="rId30" /><Relationship Type="http://schemas.openxmlformats.org/officeDocument/2006/relationships/hyperlink" Target="https://socialk.it/en/best-time-to-post/linkedin" TargetMode="External" Id="rId31" /><Relationship Type="http://schemas.openxmlformats.org/officeDocument/2006/relationships/hyperlink" Target="https://theshieldindex.beehiiv.com/p/does-linkedin-post-length-actually-matter" TargetMode="External" Id="rId32" /><Relationship Type="http://schemas.openxmlformats.org/officeDocument/2006/relationships/hyperlink" Target="https://the-decoder.com/linkedin-is-the-undisputed-king-of-long-form-ai-slop-according-to-a-study-spanning-five-platforms/" TargetMode="External" Id="rId33" /><Relationship Type="http://schemas.openxmlformats.org/officeDocument/2006/relationships/hyperlink" Target="https://originality.ai/blog/linkedin-ai-study-engagement" TargetMode="External" Id="rId34" /><Relationship Type="http://schemas.openxmlformats.org/officeDocument/2006/relationships/hyperlink" Target="https://ppc.land/over-half-of-linkedin-posts-are-now-likely-ai-but-authenticity-still-wins/" TargetMode="External" Id="rId35" /><Relationship Type="http://schemas.openxmlformats.org/officeDocument/2006/relationships/hyperlink" Target="https://www.emarketer.com/content/exclusive--ai-slop-threat-creator-economy" TargetMode="External" Id="rId36" /><Relationship Type="http://schemas.openxmlformats.org/officeDocument/2006/relationships/hyperlink" Target="https://brand24.com/blog/what-is-claude-ai-used-for-report/" TargetMode="External" Id="rId37" /><Relationship Type="http://schemas.openxmlformats.org/officeDocument/2006/relationships/hyperlink" Target="https://www.mydailyrecord.com/online_features/press_releases/businesses-race-to-hire-claude-code-specialists-as-demand-surges-938/article_a6e9e327-e090-5d0a-8f79-0b1ef86f17dc.html" TargetMode="External" Id="rId38" /><Relationship Type="http://schemas.openxmlformats.org/officeDocument/2006/relationships/hyperlink" Target="https://www.salesforce.com/news/stories/state-of-sales-report-announcement-2026/" TargetMode="External" Id="rId39" /><Relationship Type="http://schemas.openxmlformats.org/officeDocument/2006/relationships/hyperlink" Target="https://itwire.com/it-people-news/recruitment/ai-literacy-tops-linkedin&#8217;s-2025-skills-on-the-rise-list" TargetMode="External" Id="rId40" /><Relationship Type="http://schemas.openxmlformats.org/officeDocument/2006/relationships/hyperlink" Target="https://usefulai.com/linkedin-accounts" TargetMode="External" Id="rId41" /><Relationship Type="http://schemas.openxmlformats.org/officeDocument/2006/relationships/hyperlink" Target="https://siecledigital.fr/2025/11/03/pourquoi-les-publications-linkedin-font-de-moins-en-moins-de-vues-et-ce-que-lalgorithme-change/" TargetMode="External" Id="rId42" /><Relationship Type="http://schemas.openxmlformats.org/officeDocument/2006/relationships/hyperlink" Target="https://theshieldindex.beehiiv.com/p/does-linkedin-post-length-actually-matter" TargetMode="External" Id="rId43" /><Relationship Type="http://schemas.openxmlformats.org/officeDocument/2006/relationships/hyperlink" Target="https://www.lindseygamble.com/blog/linkedin-shares-commenting-can-triple-profile-views" TargetMode="External" Id="rId44" /><Relationship Type="http://schemas.openxmlformats.org/officeDocument/2006/relationships/hyperlink" Target="https://www.emarketer.com/content/linkedin-revenues-grow-12--paid-video-yields-strong-results" TargetMode="External" Id="rId45" /><Relationship Type="http://schemas.openxmlformats.org/officeDocument/2006/relationships/hyperlink" Target="https://growingviral.beehiiv.com/p/justin-welsh-turning-1-piece-content-100-highvalue-posts" TargetMode="External" Id="rId46" /><Relationship Type="http://schemas.openxmlformats.org/officeDocument/2006/relationships/hyperlink" Target="https://www.shno.co/marketing-statistics/thought-leadership-statistics" TargetMode="External" Id="rId47" /><Relationship Type="http://schemas.openxmlformats.org/officeDocument/2006/relationships/hyperlink" Target="https://www.guidingtech.com/you-cant-activate-creator-mode-on-linkedin-anymore-heres-what-you-can-do-instead" TargetMode="External" Id="rId48" /><Relationship Type="http://schemas.openxmlformats.org/officeDocument/2006/relationships/hyperlink" Target="https://lindseygamble.com/blog/linkedin-announces-new-tools-features-to-help-creators-grow-their-audience" TargetMode="External" Id="rId49" /><Relationship Type="http://schemas.openxmlformats.org/officeDocument/2006/relationships/hyperlink" Target="https://www.socialmediatoday.com/news/the-key-elements-of-a-great-linkedin-profile-photo-and-why-it-matters/502347/" TargetMode="External" Id="rId50" /><Relationship Type="http://schemas.openxmlformats.org/officeDocument/2006/relationships/hyperlink" Target="https://gripped.io/saas-marketing/long-term-b2b-saas-marketing-strategy/" TargetMode="External" Id="rId51" /><Relationship Type="http://schemas.openxmlformats.org/officeDocument/2006/relationships/hyperlink" Target="https://www.edelman.com/sites/g/files/aatuss191/files/2024-02/_2024%20Edelman-LinkedIn%20B2B%20Thought%20Leadership%20Impact%20Report%20Final.pdf" TargetMode="External" Id="rId52" /><Relationship Type="http://schemas.openxmlformats.org/officeDocument/2006/relationships/hyperlink" Target="https://startupgtm.substack.com/p/comment-os" TargetMode="External" Id="rId53" /></Relationships>
</file>

<file path=xl/worksheets/_rels/sheet8.xml.rels><Relationships xmlns="http://schemas.openxmlformats.org/package/2006/relationships"><Relationship Type="http://schemas.openxmlformats.org/officeDocument/2006/relationships/hyperlink" Target="https://authoredup.com/blog/linkedin-metrics-to-track" TargetMode="External" Id="rId1" /><Relationship Type="http://schemas.openxmlformats.org/officeDocument/2006/relationships/hyperlink" Target="https://authoredup.com/blog/linkedin-metrics-to-track" TargetMode="External" Id="rId2" /><Relationship Type="http://schemas.openxmlformats.org/officeDocument/2006/relationships/hyperlink" Target="https://authoredup.com/blog/linkedin-metrics-to-track" TargetMode="External" Id="rId3" /><Relationship Type="http://schemas.openxmlformats.org/officeDocument/2006/relationships/hyperlink" Target="https://magicpost.in/linkedin-benchmark/june-2026" TargetMode="External" Id="rId4" /><Relationship Type="http://schemas.openxmlformats.org/officeDocument/2006/relationships/hyperlink" Target="https://magicpost.in/linkedin-benchmark/june-2026" TargetMode="External" Id="rId5" /><Relationship Type="http://schemas.openxmlformats.org/officeDocument/2006/relationships/hyperlink" Target="https://magicpost.in/linkedin-benchmark/june-2026" TargetMode="External" Id="rId6" /><Relationship Type="http://schemas.openxmlformats.org/officeDocument/2006/relationships/hyperlink" Target="https://theshieldindex.beehiiv.com/p/february-2026-linkedin-reach-benchmarks-by-follower-bracket" TargetMode="External" Id="rId7" /><Relationship Type="http://schemas.openxmlformats.org/officeDocument/2006/relationships/hyperlink" Target="https://theshieldindex.beehiiv.com/p/february-2026-linkedin-reach-benchmarks-by-follower-bracket" TargetMode="External" Id="rId8" /><Relationship Type="http://schemas.openxmlformats.org/officeDocument/2006/relationships/hyperlink" Target="https://www.favikon.com/favlab/linkedin-engagement-rate-benchmark" TargetMode="External" Id="rId9" /><Relationship Type="http://schemas.openxmlformats.org/officeDocument/2006/relationships/hyperlink" Target="https://www.revboss.com/founder-led-marketing-benchmarks" TargetMode="External" Id="rId10" /><Relationship Type="http://schemas.openxmlformats.org/officeDocument/2006/relationships/hyperlink" Target="https://siecledigital.fr/2025/11/03/pourquoi-les-publications-linkedin-font-de-moins-en-moins-de-vues-et-ce-que-lalgorithme-change/" TargetMode="External" Id="rId11" /><Relationship Type="http://schemas.openxmlformats.org/officeDocument/2006/relationships/hyperlink" Target="https://www.socialinsider.io/blog/linkedin-content-study/" TargetMode="External" Id="rId12" /><Relationship Type="http://schemas.openxmlformats.org/officeDocument/2006/relationships/hyperlink" Target="https://www.socialinsider.io/blog/linkedin-content-study/" TargetMode="External" Id="rId13" /><Relationship Type="http://schemas.openxmlformats.org/officeDocument/2006/relationships/hyperlink" Target="https://www.socialinsider.io/blog/linkedin-content-study/" TargetMode="External" Id="rId14" /><Relationship Type="http://schemas.openxmlformats.org/officeDocument/2006/relationships/hyperlink" Target="https://www.socialinsider.io/blog/linkedin-content-study/" TargetMode="External" Id="rId15" /><Relationship Type="http://schemas.openxmlformats.org/officeDocument/2006/relationships/hyperlink" Target="https://www.tryordinal.com/blog/linkedin-link-penalty-study" TargetMode="External" Id="rId16" /><Relationship Type="http://schemas.openxmlformats.org/officeDocument/2006/relationships/hyperlink" Target="https://buffer.com/resources/how-often-to-post-on-linkedin/" TargetMode="External" Id="rId17" /><Relationship Type="http://schemas.openxmlformats.org/officeDocument/2006/relationships/hyperlink" Target="https://metricool.com/press-release-linkedin-study-2026/" TargetMode="External" Id="rId18" /><Relationship Type="http://schemas.openxmlformats.org/officeDocument/2006/relationships/hyperlink" Target="https://the-decoder.com/linkedin-is-the-undisputed-king-of-long-form-ai-slop-according-to-a-study-spanning-five-platforms/" TargetMode="External" Id="rId19" /><Relationship Type="http://schemas.openxmlformats.org/officeDocument/2006/relationships/hyperlink" Target="https://theshieldindex.beehiiv.com/p/does-linkedin-post-length-actually-matter" TargetMode="External" Id="rId20" /></Relationships>
</file>

<file path=xl/worksheets/_rels/sheet1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tabColor rgb="001F3864"/>
    <outlinePr summaryBelow="1" summaryRight="1"/>
    <pageSetUpPr fitToPage="1"/>
  </sheetPr>
  <dimension ref="A1:D34"/>
  <sheetViews>
    <sheetView showGridLines="0" workbookViewId="0">
      <selection activeCell="A1" sqref="A1"/>
    </sheetView>
  </sheetViews>
  <sheetFormatPr baseColWidth="8" defaultRowHeight="15"/>
  <cols>
    <col width="26" customWidth="1" min="1" max="1"/>
    <col width="60" customWidth="1" min="2" max="2"/>
    <col width="26" customWidth="1" min="3" max="3"/>
    <col width="40" customWidth="1" min="4" max="4"/>
  </cols>
  <sheetData>
    <row r="1" ht="32" customHeight="1">
      <c r="A1" s="1" t="inlineStr">
        <is>
          <t>LinkedIn Performance Assessment: Q1 and Q2 2026</t>
        </is>
      </c>
    </row>
    <row r="2" ht="30" customHeight="1">
      <c r="A2" s="2" t="inlineStr">
        <is>
          <t>Shrikant Ahire  |  linkedin.com/in/shrikant-ahire87  |  Prepared 4 Oct 2026  |  Covers 1 Jan to 30 Jun 2026</t>
        </is>
      </c>
    </row>
    <row r="4" ht="22" customHeight="1">
      <c r="A4" s="3" t="inlineStr">
        <is>
          <t>THE VERDICT IN 5 LINES</t>
        </is>
      </c>
    </row>
    <row r="5" ht="32" customHeight="1">
      <c r="A5" s="4" t="inlineStr">
        <is>
          <t>1. You barely posted in Q1 and Q2. Only one original post can be identified in six months: your Bramasol job announcement on 2 March.</t>
        </is>
      </c>
    </row>
    <row r="6" ht="32" customHeight="1">
      <c r="A6" s="4" t="inlineStr">
        <is>
          <t>2. That one post worked. Its week delivered 794 impressions and 48 reactions plus comments, about 4x the median post for small accounts and a 6% engagement rate (benchmark 2.56%).</t>
        </is>
      </c>
    </row>
    <row r="7" ht="32" customHeight="1">
      <c r="A7" s="4" t="inlineStr">
        <is>
          <t>3. Nothing followed it, so reach fell to 150, then 23, then 73, then 22 impressions a week. January, February and May show no activity at all.</t>
        </is>
      </c>
    </row>
    <row r="8" ht="32" customHeight="1">
      <c r="A8" s="4" t="inlineStr">
        <is>
          <t>4. None of your Q1 and Q2 content was about Claude or AI, so your personal brand goal had no content behind it yet.</t>
        </is>
      </c>
    </row>
    <row r="9" ht="32" customHeight="1">
      <c r="A9" s="4" t="inlineStr">
        <is>
          <t>5. Your network responds when you show up. For the next 90 days, post 3 times a week with a named 'Claude for Sales Ops' series and track every post.</t>
        </is>
      </c>
    </row>
    <row r="11" ht="22" customHeight="1">
      <c r="A11" s="3" t="inlineStr">
        <is>
          <t>HOW THIS WORKBOOK IS ORGANISED (read left to right)</t>
        </is>
      </c>
    </row>
    <row r="12" ht="30" customHeight="1">
      <c r="A12" s="5" t="inlineStr">
        <is>
          <t>Tab</t>
        </is>
      </c>
      <c r="B12" s="5" t="inlineStr">
        <is>
          <t>What it shows</t>
        </is>
      </c>
      <c r="C12" s="5" t="inlineStr">
        <is>
          <t>Use it to</t>
        </is>
      </c>
      <c r="D12" s="5" t="inlineStr">
        <is>
          <t>Key question it answers</t>
        </is>
      </c>
    </row>
    <row r="13" ht="30" customHeight="1">
      <c r="A13" s="6" t="inlineStr">
        <is>
          <t>Dashboard</t>
        </is>
      </c>
      <c r="B13" s="7" t="inlineStr">
        <is>
          <t>KPI tiles, Q1 vs Q2 comparison, weekly impressions chart, scores against benchmarks</t>
        </is>
      </c>
      <c r="C13" s="7" t="inlineStr">
        <is>
          <t>Get the picture in 30 seconds</t>
        </is>
      </c>
      <c r="D13" s="7" t="inlineStr">
        <is>
          <t>How did I do overall?</t>
        </is>
      </c>
    </row>
    <row r="14" ht="30" customHeight="1">
      <c r="A14" s="6" t="inlineStr">
        <is>
          <t>Weekly Data</t>
        </is>
      </c>
      <c r="B14" s="7" t="inlineStr">
        <is>
          <t>Every week from 29 Dec 2025 to 5 Jul 2026, green where LinkedIn reported numbers, grey where it did not</t>
        </is>
      </c>
      <c r="C14" s="7" t="inlineStr">
        <is>
          <t>See the trend and the gaps</t>
        </is>
      </c>
      <c r="D14" s="7" t="inlineStr">
        <is>
          <t>When did I get reach and when did I go quiet?</t>
        </is>
      </c>
    </row>
    <row r="15" ht="30" customHeight="1">
      <c r="A15" s="6" t="inlineStr">
        <is>
          <t>Post Log</t>
        </is>
      </c>
      <c r="B15" s="7" t="inlineStr">
        <is>
          <t>Every post identified, with reactions, comments and engagement rate. Yellow rows are ready for your export</t>
        </is>
      </c>
      <c r="C15" s="7" t="inlineStr">
        <is>
          <t>Compare posts against each other</t>
        </is>
      </c>
      <c r="D15" s="7" t="inlineStr">
        <is>
          <t>Which posts worked?</t>
        </is>
      </c>
    </row>
    <row r="16" ht="30" customHeight="1">
      <c r="A16" s="6" t="inlineStr">
        <is>
          <t>Audience</t>
        </is>
      </c>
      <c r="B16" s="7" t="inlineStr">
        <is>
          <t>Who saw your posts, from LinkedIn's weekly recaps</t>
        </is>
      </c>
      <c r="C16" s="7" t="inlineStr">
        <is>
          <t>Check you are reaching buyers</t>
        </is>
      </c>
      <c r="D16" s="7" t="inlineStr">
        <is>
          <t>Who is actually reading me?</t>
        </is>
      </c>
    </row>
    <row r="17" ht="30" customHeight="1">
      <c r="A17" s="6" t="inlineStr">
        <is>
          <t>Diagnosis</t>
        </is>
      </c>
      <c r="B17" s="7" t="inlineStr">
        <is>
          <t>10 findings from your own data, rated red, amber or green</t>
        </is>
      </c>
      <c r="C17" s="7" t="inlineStr">
        <is>
          <t>Know what to fix first</t>
        </is>
      </c>
      <c r="D17" s="7" t="inlineStr">
        <is>
          <t>What went wrong and what went right?</t>
        </is>
      </c>
    </row>
    <row r="18" ht="30" customHeight="1">
      <c r="A18" s="6" t="inlineStr">
        <is>
          <t>Research Insights</t>
        </is>
      </c>
      <c r="B18" s="7" t="inlineStr">
        <is>
          <t>53 research findings on the LinkedIn algorithm, formats, benchmarks and the AI content space, each with what it means for you</t>
        </is>
      </c>
      <c r="C18" s="7" t="inlineStr">
        <is>
          <t>Back every decision with evidence</t>
        </is>
      </c>
      <c r="D18" s="7" t="inlineStr">
        <is>
          <t>What does the market data say?</t>
        </is>
      </c>
    </row>
    <row r="19" ht="30" customHeight="1">
      <c r="A19" s="6" t="inlineStr">
        <is>
          <t>Benchmarks</t>
        </is>
      </c>
      <c r="B19" s="7" t="inlineStr">
        <is>
          <t>20 industry benchmarks with your number beside them where one exists</t>
        </is>
      </c>
      <c r="C19" s="7" t="inlineStr">
        <is>
          <t>Set realistic targets</t>
        </is>
      </c>
      <c r="D19" s="7" t="inlineStr">
        <is>
          <t>What does good look like for my size?</t>
        </is>
      </c>
    </row>
    <row r="20" ht="30" customHeight="1">
      <c r="A20" s="6" t="inlineStr">
        <is>
          <t>Action Plan</t>
        </is>
      </c>
      <c r="B20" s="7" t="inlineStr">
        <is>
          <t>18 prioritised actions with target, deadline and a status dropdown</t>
        </is>
      </c>
      <c r="C20" s="7" t="inlineStr">
        <is>
          <t>Run the next 90 days</t>
        </is>
      </c>
      <c r="D20" s="7" t="inlineStr">
        <is>
          <t>What exactly do I do?</t>
        </is>
      </c>
    </row>
    <row r="21" ht="30" customHeight="1">
      <c r="A21" s="6" t="inlineStr">
        <is>
          <t>Content Calendar</t>
        </is>
      </c>
      <c r="B21" s="7" t="inlineStr">
        <is>
          <t>13 weeks x 3 posts, Oct to Dec 2026, with topic, format and hook ideas</t>
        </is>
      </c>
      <c r="C21" s="7" t="inlineStr">
        <is>
          <t>Never start from a blank page</t>
        </is>
      </c>
      <c r="D21" s="7" t="inlineStr">
        <is>
          <t>What do I post this week?</t>
        </is>
      </c>
    </row>
    <row r="22" ht="30" customHeight="1">
      <c r="A22" s="6" t="inlineStr">
        <is>
          <t>Tracker</t>
        </is>
      </c>
      <c r="B22" s="7" t="inlineStr">
        <is>
          <t>Weekly scorecard with targets; fill the yellow cells and it turns green or red on its own</t>
        </is>
      </c>
      <c r="C22" s="7" t="inlineStr">
        <is>
          <t>Measure progress every Monday</t>
        </is>
      </c>
      <c r="D22" s="7" t="inlineStr">
        <is>
          <t>Am I on track?</t>
        </is>
      </c>
    </row>
    <row r="23" ht="30" customHeight="1">
      <c r="A23" s="6" t="inlineStr">
        <is>
          <t>Sources &amp; Gaps</t>
        </is>
      </c>
      <c r="B23" s="7" t="inlineStr">
        <is>
          <t>Where every number came from and what is missing</t>
        </is>
      </c>
      <c r="C23" s="7" t="inlineStr">
        <is>
          <t>Trust the numbers</t>
        </is>
      </c>
      <c r="D23" s="7" t="inlineStr">
        <is>
          <t>How reliable is this?</t>
        </is>
      </c>
    </row>
    <row r="25" ht="22" customHeight="1">
      <c r="A25" s="3" t="inlineStr">
        <is>
          <t>COLOUR KEY</t>
        </is>
      </c>
    </row>
    <row r="26">
      <c r="A26" s="8" t="inlineStr">
        <is>
          <t>Green cell</t>
        </is>
      </c>
      <c r="B26" s="7" t="inlineStr">
        <is>
          <t>Real number LinkedIn reported (from your Gmail recaps or notifications)</t>
        </is>
      </c>
      <c r="C26" s="9" t="n"/>
      <c r="D26" s="10" t="n"/>
    </row>
    <row r="27">
      <c r="A27" s="11" t="inlineStr">
        <is>
          <t>Grey cell</t>
        </is>
      </c>
      <c r="B27" s="7" t="inlineStr">
        <is>
          <t>No data exists for this period</t>
        </is>
      </c>
      <c r="C27" s="9" t="n"/>
      <c r="D27" s="10" t="n"/>
    </row>
    <row r="28">
      <c r="A28" s="12" t="inlineStr">
        <is>
          <t>Yellow cell</t>
        </is>
      </c>
      <c r="B28" s="7" t="inlineStr">
        <is>
          <t>Input cell for you to fill in from your LinkedIn export</t>
        </is>
      </c>
      <c r="C28" s="9" t="n"/>
      <c r="D28" s="10" t="n"/>
    </row>
    <row r="29">
      <c r="A29" s="13" t="inlineStr">
        <is>
          <t>Green rating</t>
        </is>
      </c>
      <c r="B29" s="7" t="inlineStr">
        <is>
          <t>Strength / on target</t>
        </is>
      </c>
      <c r="C29" s="9" t="n"/>
      <c r="D29" s="10" t="n"/>
    </row>
    <row r="30">
      <c r="A30" s="14" t="inlineStr">
        <is>
          <t>Amber rating</t>
        </is>
      </c>
      <c r="B30" s="7" t="inlineStr">
        <is>
          <t>Watch / needs work</t>
        </is>
      </c>
      <c r="C30" s="9" t="n"/>
      <c r="D30" s="10" t="n"/>
    </row>
    <row r="31">
      <c r="A31" s="15" t="inlineStr">
        <is>
          <t>Red rating</t>
        </is>
      </c>
      <c r="B31" s="7" t="inlineStr">
        <is>
          <t>Problem / top priority to fix</t>
        </is>
      </c>
      <c r="C31" s="9" t="n"/>
      <c r="D31" s="10" t="n"/>
    </row>
    <row r="33" ht="22" customHeight="1">
      <c r="A33" s="16" t="inlineStr">
        <is>
          <t>IMPORTANT: DATA LIMITS</t>
        </is>
      </c>
    </row>
    <row r="34" ht="70" customHeight="1">
      <c r="A34" s="17" t="inlineStr">
        <is>
          <t>LinkedIn blocks automated access, so these numbers come from the analytics emails LinkedIn sent to your Gmail (5 weekly recaps and 2 post notifications). No figure here is estimated. To complete the picture, export LinkedIn Analytics &gt; Content and Followers (1 Jan to 30 Jun 2026) and paste the numbers into the yellow cells on Post Log and Weekly Data. Every formula and chart updates automatically. Q3 (Jul to Sep) has already ended, so the plan covers the next 90 days (Oct to Dec 2026).</t>
        </is>
      </c>
    </row>
  </sheetData>
  <mergeCells count="18">
    <mergeCell ref="A1:D1"/>
    <mergeCell ref="A5:D5"/>
    <mergeCell ref="A9:D9"/>
    <mergeCell ref="B28:D28"/>
    <mergeCell ref="A8:D8"/>
    <mergeCell ref="A6:D6"/>
    <mergeCell ref="B31:D31"/>
    <mergeCell ref="A34:D34"/>
    <mergeCell ref="A4:D4"/>
    <mergeCell ref="B26:D26"/>
    <mergeCell ref="B27:D27"/>
    <mergeCell ref="A7:D7"/>
    <mergeCell ref="A25:D25"/>
    <mergeCell ref="B30:D30"/>
    <mergeCell ref="A2:D2"/>
    <mergeCell ref="A11:D11"/>
    <mergeCell ref="B29:D29"/>
    <mergeCell ref="A33:D33"/>
  </mergeCells>
  <hyperlinks>
    <hyperlink xmlns:r="http://schemas.openxmlformats.org/officeDocument/2006/relationships" ref="A13" r:id="rId1"/>
    <hyperlink xmlns:r="http://schemas.openxmlformats.org/officeDocument/2006/relationships" ref="A14" r:id="rId2"/>
    <hyperlink xmlns:r="http://schemas.openxmlformats.org/officeDocument/2006/relationships" ref="A15" r:id="rId3"/>
    <hyperlink xmlns:r="http://schemas.openxmlformats.org/officeDocument/2006/relationships" ref="A16" r:id="rId4"/>
    <hyperlink xmlns:r="http://schemas.openxmlformats.org/officeDocument/2006/relationships" ref="A17" r:id="rId5"/>
    <hyperlink xmlns:r="http://schemas.openxmlformats.org/officeDocument/2006/relationships" ref="A18" r:id="rId6"/>
    <hyperlink xmlns:r="http://schemas.openxmlformats.org/officeDocument/2006/relationships" ref="A19" r:id="rId7"/>
    <hyperlink xmlns:r="http://schemas.openxmlformats.org/officeDocument/2006/relationships" ref="A20" r:id="rId8"/>
    <hyperlink xmlns:r="http://schemas.openxmlformats.org/officeDocument/2006/relationships" ref="A21" r:id="rId9"/>
    <hyperlink xmlns:r="http://schemas.openxmlformats.org/officeDocument/2006/relationships" ref="A22" r:id="rId10"/>
    <hyperlink xmlns:r="http://schemas.openxmlformats.org/officeDocument/2006/relationships" ref="A23" r:id="rId11"/>
  </hyperlinks>
  <pageMargins left="0.75" right="0.75" top="1" bottom="1" header="0.5" footer="0.5"/>
  <pageSetup orientation="landscape" fitToHeight="0" fitToWidth="1"/>
</worksheet>
</file>

<file path=xl/worksheets/sheet2.xml><?xml version="1.0" encoding="utf-8"?>
<worksheet xmlns="http://schemas.openxmlformats.org/spreadsheetml/2006/main">
  <sheetPr>
    <tabColor rgb="001F3864"/>
    <outlinePr summaryBelow="1" summaryRight="1"/>
    <pageSetUpPr fitToPage="1"/>
  </sheetPr>
  <dimension ref="A1:H30"/>
  <sheetViews>
    <sheetView showGridLines="0"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ht="32" customHeight="1">
      <c r="A1" s="1" t="inlineStr">
        <is>
          <t>Dashboard: Q1 vs Q2 2026 at a glance</t>
        </is>
      </c>
    </row>
    <row r="2" ht="30" customHeight="1">
      <c r="A2" s="2" t="inlineStr">
        <is>
          <t>Every number below is a live formula linked to Weekly Data, Post Log and Benchmarks. Fill the gaps there and this page updates.</t>
        </is>
      </c>
    </row>
    <row r="4" ht="22" customHeight="1">
      <c r="A4" s="3" t="inlineStr">
        <is>
          <t>HEADLINE NUMBERS</t>
        </is>
      </c>
    </row>
    <row r="5" ht="28" customHeight="1">
      <c r="A5" s="18" t="inlineStr">
        <is>
          <t>Total impressions
(recorded)</t>
        </is>
      </c>
      <c r="C5" s="18" t="inlineStr">
        <is>
          <t>Peak week
impressions</t>
        </is>
      </c>
      <c r="E5" s="18" t="inlineStr">
        <is>
          <t>Original posts
identified</t>
        </is>
      </c>
      <c r="G5" s="18" t="inlineStr">
        <is>
          <t>Engagement rate
(recorded weeks)</t>
        </is>
      </c>
    </row>
    <row r="6" ht="34" customHeight="1">
      <c r="A6" s="19">
        <f>SUM('Weekly Data'!$D$5:$D$32)</f>
        <v/>
      </c>
      <c r="C6" s="19">
        <f>MAX('Weekly Data'!$D$5:$D$32)</f>
        <v/>
      </c>
      <c r="E6" s="20">
        <f>COUNTA('Post Log'!$B$5:$B$40)</f>
        <v/>
      </c>
      <c r="G6" s="21">
        <f>'Weekly Data'!H33</f>
        <v/>
      </c>
    </row>
    <row r="7">
      <c r="A7" s="22" t="inlineStr">
        <is>
          <t>Q1 + Q2, from 5 recap weeks</t>
        </is>
      </c>
      <c r="C7" s="22" t="inlineStr">
        <is>
          <t>Week of 2 Mar (job post)</t>
        </is>
      </c>
      <c r="E7" s="22" t="inlineStr">
        <is>
          <t>In 26 weeks</t>
        </is>
      </c>
      <c r="G7" s="22" t="inlineStr">
        <is>
          <t>Benchmark median 2.56%</t>
        </is>
      </c>
    </row>
    <row r="9" ht="28" customHeight="1">
      <c r="A9" s="18" t="inlineStr">
        <is>
          <t>Total reactions
(recorded)</t>
        </is>
      </c>
      <c r="C9" s="18" t="inlineStr">
        <is>
          <t>Total comments
(recorded)</t>
        </is>
      </c>
      <c r="E9" s="18" t="inlineStr">
        <is>
          <t>Weeks with
any reach</t>
        </is>
      </c>
      <c r="G9" s="18" t="inlineStr">
        <is>
          <t>Peak week vs
small-account median</t>
        </is>
      </c>
    </row>
    <row r="10" ht="34" customHeight="1">
      <c r="A10" s="19">
        <f>SUM('Weekly Data'!$E$5:$E$32)</f>
        <v/>
      </c>
      <c r="C10" s="19">
        <f>SUM('Weekly Data'!$F$5:$F$32)</f>
        <v/>
      </c>
      <c r="E10" s="20">
        <f>COUNTIF('Weekly Data'!$I$5:$I$32,"Recorded")</f>
        <v/>
      </c>
      <c r="G10" s="23">
        <f>MAX('Weekly Data'!$D$5:$D$32)/Benchmarks!$C$8</f>
        <v/>
      </c>
    </row>
    <row r="11">
      <c r="A11" s="22" t="inlineStr"/>
      <c r="C11" s="22" t="inlineStr"/>
      <c r="E11" s="22" t="inlineStr">
        <is>
          <t>Out of 28 weeks shown</t>
        </is>
      </c>
      <c r="G11" s="22" t="inlineStr">
        <is>
          <t>vs 207 median impressions/post</t>
        </is>
      </c>
    </row>
    <row r="13" ht="22" customHeight="1">
      <c r="A13" s="3" t="inlineStr">
        <is>
          <t>Q1 vs Q2 COMPARISON</t>
        </is>
      </c>
    </row>
    <row r="14" ht="30" customHeight="1">
      <c r="A14" s="5" t="inlineStr">
        <is>
          <t>Metric</t>
        </is>
      </c>
      <c r="B14" s="5" t="inlineStr">
        <is>
          <t>Q1 (Jan to Mar)</t>
        </is>
      </c>
      <c r="C14" s="5" t="inlineStr">
        <is>
          <t>Q2 (Apr to Jun)</t>
        </is>
      </c>
      <c r="D14" s="5" t="inlineStr">
        <is>
          <t>Change</t>
        </is>
      </c>
      <c r="E14" s="5" t="inlineStr">
        <is>
          <t>Rating</t>
        </is>
      </c>
      <c r="F14" s="5" t="inlineStr">
        <is>
          <t>What it means</t>
        </is>
      </c>
      <c r="G14" s="9" t="n"/>
      <c r="H14" s="10" t="n"/>
    </row>
    <row r="15" ht="30" customHeight="1">
      <c r="A15" s="24" t="inlineStr">
        <is>
          <t>Impressions (recorded)</t>
        </is>
      </c>
      <c r="B15" s="25">
        <f>SUMIFS('Weekly Data'!$D$5:$D$32,'Weekly Data'!$C$5:$C$32,"Q1")</f>
        <v/>
      </c>
      <c r="C15" s="25">
        <f>SUMIFS('Weekly Data'!$D$5:$D$32,'Weekly Data'!$C$5:$C$32,"Q2")</f>
        <v/>
      </c>
      <c r="D15" s="26">
        <f>IF(B15=0,"n/a",(C15-B15)/B15)</f>
        <v/>
      </c>
      <c r="E15" s="27">
        <f>IF(B15=0,IF(C15&gt;0,"Up","Flat"),IF(C15&gt;=B15,"Up",IF(C15&gt;=B15*0.5,"Down","Sharp drop")))</f>
        <v/>
      </c>
      <c r="F15" s="7" t="inlineStr">
        <is>
          <t>Reach fell sharply because posting stopped after March.</t>
        </is>
      </c>
      <c r="G15" s="7" t="n"/>
      <c r="H15" s="7" t="n"/>
    </row>
    <row r="16" ht="30" customHeight="1">
      <c r="A16" s="24" t="inlineStr">
        <is>
          <t>Reactions (recorded)</t>
        </is>
      </c>
      <c r="B16" s="25">
        <f>SUMIFS('Weekly Data'!$E$5:$E$32,'Weekly Data'!$C$5:$C$32,"Q1")</f>
        <v/>
      </c>
      <c r="C16" s="25">
        <f>SUMIFS('Weekly Data'!$E$5:$E$32,'Weekly Data'!$C$5:$C$32,"Q2")</f>
        <v/>
      </c>
      <c r="D16" s="26">
        <f>IF(B16=0,"n/a",(C16-B16)/B16)</f>
        <v/>
      </c>
      <c r="E16" s="27">
        <f>IF(B16=0,IF(C16&gt;0,"Up","Flat"),IF(C16&gt;=B16,"Up",IF(C16&gt;=B16*0.5,"Down","Sharp drop")))</f>
        <v/>
      </c>
      <c r="F16" s="7" t="inlineStr">
        <is>
          <t>Q2 reactions came from weeks with almost no new posts.</t>
        </is>
      </c>
      <c r="G16" s="7" t="n"/>
      <c r="H16" s="7" t="n"/>
    </row>
    <row r="17" ht="30" customHeight="1">
      <c r="A17" s="24" t="inlineStr">
        <is>
          <t>Comments (recorded)</t>
        </is>
      </c>
      <c r="B17" s="25">
        <f>SUMIFS('Weekly Data'!$F$5:$F$32,'Weekly Data'!$C$5:$C$32,"Q1")</f>
        <v/>
      </c>
      <c r="C17" s="25">
        <f>SUMIFS('Weekly Data'!$F$5:$F$32,'Weekly Data'!$C$5:$C$32,"Q2")</f>
        <v/>
      </c>
      <c r="D17" s="26">
        <f>IF(B17=0,"n/a",(C17-B17)/B17)</f>
        <v/>
      </c>
      <c r="E17" s="27">
        <f>IF(B17=0,IF(C17&gt;0,"Up","Flat"),IF(C17&gt;=B17,"Up",IF(C17&gt;=B17*0.5,"Down","Sharp drop")))</f>
        <v/>
      </c>
      <c r="F17" s="7" t="inlineStr">
        <is>
          <t>Comments are your strongest signal in Q1: people talk when you share real news.</t>
        </is>
      </c>
      <c r="G17" s="7" t="n"/>
      <c r="H17" s="7" t="n"/>
    </row>
    <row r="18" ht="30" customHeight="1">
      <c r="A18" s="24" t="inlineStr">
        <is>
          <t>Weeks with reach</t>
        </is>
      </c>
      <c r="B18" s="28">
        <f>COUNTIFS('Weekly Data'!$C$5:$C$32,"Q1",'Weekly Data'!$I$5:$I$32,"Recorded")</f>
        <v/>
      </c>
      <c r="C18" s="28">
        <f>COUNTIFS('Weekly Data'!$C$5:$C$32,"Q2",'Weekly Data'!$I$5:$I$32,"Recorded")</f>
        <v/>
      </c>
      <c r="D18" s="26">
        <f>IF(B18=0,"n/a",(C18-B18)/B18)</f>
        <v/>
      </c>
      <c r="E18" s="27">
        <f>IF(B18=0,IF(C18&gt;0,"Up","Flat"),IF(C18&gt;=B18,"Up",IF(C18&gt;=B18*0.5,"Down","Sharp drop")))</f>
        <v/>
      </c>
      <c r="F18" s="7" t="inlineStr">
        <is>
          <t>Reach only shows up in weeks you post.</t>
        </is>
      </c>
      <c r="G18" s="7" t="n"/>
      <c r="H18" s="7" t="n"/>
    </row>
    <row r="19" ht="30" customHeight="1">
      <c r="A19" s="24" t="inlineStr">
        <is>
          <t>Peak week impressions</t>
        </is>
      </c>
      <c r="B19" s="25">
        <f>_xlfn.MAXIFS('Weekly Data'!$D$5:$D$32,'Weekly Data'!$C$5:$C$32,"Q1")</f>
        <v/>
      </c>
      <c r="C19" s="25">
        <f>_xlfn.MAXIFS('Weekly Data'!$D$5:$D$32,'Weekly Data'!$C$5:$C$32,"Q2")</f>
        <v/>
      </c>
      <c r="D19" s="26">
        <f>IF(B19=0,"n/a",(C19-B19)/B19)</f>
        <v/>
      </c>
      <c r="E19" s="27">
        <f>IF(B19=0,IF(C19&gt;0,"Up","Flat"),IF(C19&gt;=B19,"Up",IF(C19&gt;=B19*0.5,"Down","Sharp drop")))</f>
        <v/>
      </c>
      <c r="F19" s="7" t="inlineStr">
        <is>
          <t>Q2 best week was under 10% of Q1 best week.</t>
        </is>
      </c>
      <c r="G19" s="7" t="n"/>
      <c r="H19" s="7" t="n"/>
    </row>
    <row r="20" ht="30" customHeight="1">
      <c r="A20" s="24" t="inlineStr">
        <is>
          <t>Original posts identified</t>
        </is>
      </c>
      <c r="B20" s="28">
        <f>COUNTIFS('Post Log'!$C$5:$C$40,"Q1")</f>
        <v/>
      </c>
      <c r="C20" s="28">
        <f>COUNTIFS('Post Log'!$C$5:$C$40,"Q2")</f>
        <v/>
      </c>
      <c r="D20" s="26">
        <f>IF(B20=0,"n/a",(C20-B20)/B20)</f>
        <v/>
      </c>
      <c r="E20" s="27">
        <f>IF(B20=0,IF(C20&gt;0,"Up","Flat"),IF(C20&gt;=B20,"Up",IF(C20&gt;=B20*0.5,"Down","Sharp drop")))</f>
        <v/>
      </c>
      <c r="F20" s="7" t="inlineStr">
        <is>
          <t>Target from here: 36 posts per quarter (3 a week).</t>
        </is>
      </c>
      <c r="G20" s="7" t="n"/>
      <c r="H20" s="7" t="n"/>
    </row>
    <row r="22" ht="22" customHeight="1">
      <c r="A22" s="3" t="inlineStr">
        <is>
          <t>SCORECARD AGAINST BENCHMARKS</t>
        </is>
      </c>
    </row>
    <row r="23" ht="30" customHeight="1">
      <c r="A23" s="5" t="inlineStr">
        <is>
          <t>Measure</t>
        </is>
      </c>
      <c r="B23" s="5" t="inlineStr">
        <is>
          <t>You</t>
        </is>
      </c>
      <c r="C23" s="5" t="inlineStr">
        <is>
          <t>Benchmark</t>
        </is>
      </c>
      <c r="D23" s="5" t="inlineStr">
        <is>
          <t>Gap</t>
        </is>
      </c>
      <c r="E23" s="5" t="inlineStr">
        <is>
          <t>Rating</t>
        </is>
      </c>
      <c r="F23" s="5" t="inlineStr">
        <is>
          <t>Benchmark source</t>
        </is>
      </c>
      <c r="G23" s="9" t="n"/>
      <c r="H23" s="10" t="n"/>
    </row>
    <row r="24" ht="30" customHeight="1">
      <c r="A24" s="24" t="inlineStr">
        <is>
          <t>Engagement rate (peak week)</t>
        </is>
      </c>
      <c r="B24" s="29">
        <f>'Weekly Data'!H14</f>
        <v/>
      </c>
      <c r="C24" s="29">
        <f>Benchmarks!$C$5</f>
        <v/>
      </c>
      <c r="D24" s="26">
        <f>IFERROR(B24/C24-1,"")</f>
        <v/>
      </c>
      <c r="E24" s="27">
        <f>IF(B24&gt;=C24,"Above",IF(B24&gt;=C24*0.5,"Below","Far below"))</f>
        <v/>
      </c>
      <c r="F24" s="7" t="inlineStr">
        <is>
          <t>AuthoredUp, 372K posts, 0 to 1K followers</t>
        </is>
      </c>
      <c r="G24" s="7" t="n"/>
      <c r="H24" s="7" t="n"/>
    </row>
    <row r="25" ht="30" customHeight="1">
      <c r="A25" s="24" t="inlineStr">
        <is>
          <t>Engagement rate (all recorded weeks)</t>
        </is>
      </c>
      <c r="B25" s="29">
        <f>'Weekly Data'!H33</f>
        <v/>
      </c>
      <c r="C25" s="29">
        <f>Benchmarks!$C$5</f>
        <v/>
      </c>
      <c r="D25" s="26">
        <f>IFERROR(B25/C25-1,"")</f>
        <v/>
      </c>
      <c r="E25" s="27">
        <f>IF(B25&gt;=C25,"Above",IF(B25&gt;=C25*0.5,"Below","Far below"))</f>
        <v/>
      </c>
      <c r="F25" s="7" t="inlineStr">
        <is>
          <t>AuthoredUp, 372K posts, 0 to 1K followers</t>
        </is>
      </c>
      <c r="G25" s="7" t="n"/>
      <c r="H25" s="7" t="n"/>
    </row>
    <row r="26" ht="30" customHeight="1">
      <c r="A26" s="24" t="inlineStr">
        <is>
          <t>Best week impressions vs median post</t>
        </is>
      </c>
      <c r="B26" s="25">
        <f>MAX('Weekly Data'!$D$5:$D$32)</f>
        <v/>
      </c>
      <c r="C26" s="25">
        <f>Benchmarks!$C$8</f>
        <v/>
      </c>
      <c r="D26" s="26">
        <f>IFERROR(B26/C26-1,"")</f>
        <v/>
      </c>
      <c r="E26" s="27">
        <f>IF(B26&gt;=C26,"Above",IF(B26&gt;=C26*0.5,"Below","Far below"))</f>
        <v/>
      </c>
      <c r="F26" s="7" t="inlineStr">
        <is>
          <t>MagicPost June 2026, 0 to 1K followers</t>
        </is>
      </c>
      <c r="G26" s="7" t="n"/>
      <c r="H26" s="7" t="n"/>
    </row>
    <row r="27" ht="30" customHeight="1">
      <c r="A27" s="24" t="inlineStr">
        <is>
          <t>Typical week impressions (median of recorded)</t>
        </is>
      </c>
      <c r="B27" s="25">
        <f>MEDIAN('Weekly Data'!$D$5:$D$32)</f>
        <v/>
      </c>
      <c r="C27" s="25">
        <f>Benchmarks!$C$8</f>
        <v/>
      </c>
      <c r="D27" s="26">
        <f>IFERROR(B27/C27-1,"")</f>
        <v/>
      </c>
      <c r="E27" s="27">
        <f>IF(B27&gt;=C27,"Above",IF(B27&gt;=C27*0.5,"Below","Far below"))</f>
        <v/>
      </c>
      <c r="F27" s="7" t="inlineStr">
        <is>
          <t>MagicPost June 2026, 0 to 1K followers</t>
        </is>
      </c>
      <c r="G27" s="7" t="n"/>
      <c r="H27" s="7" t="n"/>
    </row>
    <row r="28" ht="30" customHeight="1">
      <c r="A28" s="24" t="inlineStr">
        <is>
          <t>Posts per week (Q1 + Q2 average)</t>
        </is>
      </c>
      <c r="B28" s="30">
        <f>COUNTA('Post Log'!$B$5:$B$40)/26</f>
        <v/>
      </c>
      <c r="C28" s="30">
        <f>2</f>
        <v/>
      </c>
      <c r="D28" s="26">
        <f>IFERROR(B28/C28-1,"")</f>
        <v/>
      </c>
      <c r="E28" s="27">
        <f>IF(B28&gt;=C28,"Above",IF(B28&gt;=C28*0.5,"Below","Far below"))</f>
        <v/>
      </c>
      <c r="F28" s="7" t="inlineStr">
        <is>
          <t>Buffer: 2 to 5 posts a week adds about 1,182 impressions per post</t>
        </is>
      </c>
      <c r="G28" s="7" t="n"/>
      <c r="H28" s="7" t="n"/>
    </row>
    <row r="30" ht="22" customHeight="1">
      <c r="A30" s="3" t="inlineStr">
        <is>
          <t>WEEKLY IMPRESSIONS, JAN TO JUN 2026 (blank bars = no data)</t>
        </is>
      </c>
    </row>
  </sheetData>
  <mergeCells count="43">
    <mergeCell ref="F20:H20"/>
    <mergeCell ref="A30:H30"/>
    <mergeCell ref="C6:D6"/>
    <mergeCell ref="F18:H18"/>
    <mergeCell ref="A11:B11"/>
    <mergeCell ref="G11:H11"/>
    <mergeCell ref="C5:D5"/>
    <mergeCell ref="E5:F5"/>
    <mergeCell ref="F26:H26"/>
    <mergeCell ref="F17:H17"/>
    <mergeCell ref="A1:H1"/>
    <mergeCell ref="A6:B6"/>
    <mergeCell ref="F23:H23"/>
    <mergeCell ref="C10:D10"/>
    <mergeCell ref="A7:B7"/>
    <mergeCell ref="G7:H7"/>
    <mergeCell ref="E10:F10"/>
    <mergeCell ref="F28:H28"/>
    <mergeCell ref="G10:H10"/>
    <mergeCell ref="F27:H27"/>
    <mergeCell ref="G6:H6"/>
    <mergeCell ref="C9:D9"/>
    <mergeCell ref="E9:F9"/>
    <mergeCell ref="E6:F6"/>
    <mergeCell ref="F14:H14"/>
    <mergeCell ref="C11:D11"/>
    <mergeCell ref="A2:H2"/>
    <mergeCell ref="E11:F11"/>
    <mergeCell ref="A5:B5"/>
    <mergeCell ref="G5:H5"/>
    <mergeCell ref="A22:H22"/>
    <mergeCell ref="F25:H25"/>
    <mergeCell ref="A4:H4"/>
    <mergeCell ref="F16:H16"/>
    <mergeCell ref="C7:D7"/>
    <mergeCell ref="F19:H19"/>
    <mergeCell ref="E7:F7"/>
    <mergeCell ref="A10:B10"/>
    <mergeCell ref="A13:H13"/>
    <mergeCell ref="A9:B9"/>
    <mergeCell ref="G9:H9"/>
    <mergeCell ref="F15:H15"/>
    <mergeCell ref="F24:H24"/>
  </mergeCells>
  <conditionalFormatting sqref="E15:E20">
    <cfRule type="cellIs" priority="1" operator="equal" dxfId="0">
      <formula>"Sharp drop"</formula>
    </cfRule>
    <cfRule type="cellIs" priority="2" operator="equal" dxfId="1">
      <formula>"Down"</formula>
    </cfRule>
    <cfRule type="cellIs" priority="3" operator="equal" dxfId="2">
      <formula>"Up"</formula>
    </cfRule>
  </conditionalFormatting>
  <conditionalFormatting sqref="E24:E28">
    <cfRule type="cellIs" priority="4" operator="equal" dxfId="2">
      <formula>"Above"</formula>
    </cfRule>
    <cfRule type="cellIs" priority="5" operator="equal" dxfId="1">
      <formula>"Below"</formula>
    </cfRule>
    <cfRule type="cellIs" priority="6" operator="equal" dxfId="0">
      <formula>"Far below"</formula>
    </cfRule>
  </conditionalFormatting>
  <pageMargins left="0.75" right="0.75" top="1" bottom="1" header="0.5" footer="0.5"/>
  <pageSetup orientation="landscape" fitToHeight="0" fitToWidth="1"/>
  <drawing xmlns:r="http://schemas.openxmlformats.org/officeDocument/2006/relationships" r:id="rId1"/>
</worksheet>
</file>

<file path=xl/worksheets/sheet3.xml><?xml version="1.0" encoding="utf-8"?>
<worksheet xmlns="http://schemas.openxmlformats.org/spreadsheetml/2006/main">
  <sheetPr>
    <tabColor rgb="002E75B6"/>
    <outlinePr summaryBelow="1" summaryRight="1"/>
    <pageSetUpPr fitToPage="1"/>
  </sheetPr>
  <dimension ref="A1:J34"/>
  <sheetViews>
    <sheetView showGridLines="0" workbookViewId="0">
      <pane ySplit="4" topLeftCell="A5" activePane="bottomLeft" state="frozen"/>
      <selection pane="bottomLeft" activeCell="A1" sqref="A1"/>
    </sheetView>
  </sheetViews>
  <sheetFormatPr baseColWidth="8" defaultRowHeight="15"/>
  <cols>
    <col width="12" customWidth="1" min="1" max="1"/>
    <col width="12" customWidth="1" min="2" max="2"/>
    <col width="9" customWidth="1" min="3" max="3"/>
    <col width="13" customWidth="1" min="4" max="4"/>
    <col width="11" customWidth="1" min="5" max="5"/>
    <col width="11" customWidth="1" min="6" max="6"/>
    <col width="13" customWidth="1" min="7" max="7"/>
    <col width="13" customWidth="1" min="8" max="8"/>
    <col width="15" customWidth="1" min="9" max="9"/>
    <col width="70" customWidth="1" min="10" max="10"/>
  </cols>
  <sheetData>
    <row r="1" ht="32" customHeight="1">
      <c r="A1" s="1" t="inlineStr">
        <is>
          <t>Weekly Data: every week of Q1 and Q2 2026</t>
        </is>
      </c>
    </row>
    <row r="2" ht="30" customHeight="1">
      <c r="A2" s="2" t="inlineStr">
        <is>
          <t>Green = numbers LinkedIn reported in its weekly recap email. Grey = no recap was sent (LinkedIn only sends one when you have impressions). Paste export figures into grey rows and they count everywhere.</t>
        </is>
      </c>
    </row>
    <row r="4" ht="30" customHeight="1">
      <c r="A4" s="5" t="inlineStr">
        <is>
          <t>Week start</t>
        </is>
      </c>
      <c r="B4" s="5" t="inlineStr">
        <is>
          <t>Week end</t>
        </is>
      </c>
      <c r="C4" s="5" t="inlineStr">
        <is>
          <t>Quarter</t>
        </is>
      </c>
      <c r="D4" s="5" t="inlineStr">
        <is>
          <t>Impressions</t>
        </is>
      </c>
      <c r="E4" s="5" t="inlineStr">
        <is>
          <t>Reactions</t>
        </is>
      </c>
      <c r="F4" s="5" t="inlineStr">
        <is>
          <t>Comments</t>
        </is>
      </c>
      <c r="G4" s="5" t="inlineStr">
        <is>
          <t>Engagements</t>
        </is>
      </c>
      <c r="H4" s="5" t="inlineStr">
        <is>
          <t>Engagement rate</t>
        </is>
      </c>
      <c r="I4" s="5" t="inlineStr">
        <is>
          <t>Data status</t>
        </is>
      </c>
      <c r="J4" s="5" t="inlineStr">
        <is>
          <t>What happened / source</t>
        </is>
      </c>
    </row>
    <row r="5">
      <c r="A5" s="31" t="n">
        <v>46020</v>
      </c>
      <c r="B5" s="31" t="n">
        <v>46026</v>
      </c>
      <c r="C5" s="27">
        <f>IF(A5&lt;DATE(2026,3,30),"Q1","Q2")</f>
        <v/>
      </c>
      <c r="D5" s="25" t="n"/>
      <c r="E5" s="25" t="n"/>
      <c r="F5" s="25" t="n"/>
      <c r="G5" s="25">
        <f>IF(COUNT(E5:F5)=2,E5+F5,"")</f>
        <v/>
      </c>
      <c r="H5" s="29">
        <f>IF(AND(ISNUMBER(G5),N(D5)&gt;0),G5/D5,"")</f>
        <v/>
      </c>
      <c r="I5" s="27">
        <f>IF(ISNUMBER(D5),"Recorded","No data")</f>
        <v/>
      </c>
      <c r="J5" s="7" t="inlineStr">
        <is>
          <t>No recap. Only security emails from LinkedIn this period; no sign of posting.</t>
        </is>
      </c>
    </row>
    <row r="6">
      <c r="A6" s="31" t="n">
        <v>46027</v>
      </c>
      <c r="B6" s="31" t="n">
        <v>46033</v>
      </c>
      <c r="C6" s="27">
        <f>IF(A6&lt;DATE(2026,3,30),"Q1","Q2")</f>
        <v/>
      </c>
      <c r="D6" s="25" t="n"/>
      <c r="E6" s="25" t="n"/>
      <c r="F6" s="25" t="n"/>
      <c r="G6" s="25">
        <f>IF(COUNT(E6:F6)=2,E6+F6,"")</f>
        <v/>
      </c>
      <c r="H6" s="29">
        <f>IF(AND(ISNUMBER(G6),N(D6)&gt;0),G6/D6,"")</f>
        <v/>
      </c>
      <c r="I6" s="27">
        <f>IF(ISNUMBER(D6),"Recorded","No data")</f>
        <v/>
      </c>
      <c r="J6" s="7" t="inlineStr">
        <is>
          <t>No recap. Only security emails from LinkedIn this period; no sign of posting.</t>
        </is>
      </c>
    </row>
    <row r="7">
      <c r="A7" s="31" t="n">
        <v>46034</v>
      </c>
      <c r="B7" s="31" t="n">
        <v>46040</v>
      </c>
      <c r="C7" s="27">
        <f>IF(A7&lt;DATE(2026,3,30),"Q1","Q2")</f>
        <v/>
      </c>
      <c r="D7" s="25" t="n"/>
      <c r="E7" s="25" t="n"/>
      <c r="F7" s="25" t="n"/>
      <c r="G7" s="25">
        <f>IF(COUNT(E7:F7)=2,E7+F7,"")</f>
        <v/>
      </c>
      <c r="H7" s="29">
        <f>IF(AND(ISNUMBER(G7),N(D7)&gt;0),G7/D7,"")</f>
        <v/>
      </c>
      <c r="I7" s="27">
        <f>IF(ISNUMBER(D7),"Recorded","No data")</f>
        <v/>
      </c>
      <c r="J7" s="7" t="inlineStr">
        <is>
          <t>No recap. Only security emails from LinkedIn this period; no sign of posting.</t>
        </is>
      </c>
    </row>
    <row r="8">
      <c r="A8" s="31" t="n">
        <v>46041</v>
      </c>
      <c r="B8" s="31" t="n">
        <v>46047</v>
      </c>
      <c r="C8" s="27">
        <f>IF(A8&lt;DATE(2026,3,30),"Q1","Q2")</f>
        <v/>
      </c>
      <c r="D8" s="25" t="n"/>
      <c r="E8" s="25" t="n"/>
      <c r="F8" s="25" t="n"/>
      <c r="G8" s="25">
        <f>IF(COUNT(E8:F8)=2,E8+F8,"")</f>
        <v/>
      </c>
      <c r="H8" s="29">
        <f>IF(AND(ISNUMBER(G8),N(D8)&gt;0),G8/D8,"")</f>
        <v/>
      </c>
      <c r="I8" s="27">
        <f>IF(ISNUMBER(D8),"Recorded","No data")</f>
        <v/>
      </c>
      <c r="J8" s="7" t="inlineStr">
        <is>
          <t>No recap. Only security emails from LinkedIn this period; no sign of posting.</t>
        </is>
      </c>
    </row>
    <row r="9">
      <c r="A9" s="31" t="n">
        <v>46048</v>
      </c>
      <c r="B9" s="31" t="n">
        <v>46054</v>
      </c>
      <c r="C9" s="27">
        <f>IF(A9&lt;DATE(2026,3,30),"Q1","Q2")</f>
        <v/>
      </c>
      <c r="D9" s="25" t="n"/>
      <c r="E9" s="25" t="n"/>
      <c r="F9" s="25" t="n"/>
      <c r="G9" s="25">
        <f>IF(COUNT(E9:F9)=2,E9+F9,"")</f>
        <v/>
      </c>
      <c r="H9" s="29">
        <f>IF(AND(ISNUMBER(G9),N(D9)&gt;0),G9/D9,"")</f>
        <v/>
      </c>
      <c r="I9" s="27">
        <f>IF(ISNUMBER(D9),"Recorded","No data")</f>
        <v/>
      </c>
      <c r="J9" s="7" t="inlineStr">
        <is>
          <t>No recap. Only security emails from LinkedIn this period; no sign of posting.</t>
        </is>
      </c>
    </row>
    <row r="10">
      <c r="A10" s="31" t="n">
        <v>46055</v>
      </c>
      <c r="B10" s="31" t="n">
        <v>46061</v>
      </c>
      <c r="C10" s="27">
        <f>IF(A10&lt;DATE(2026,3,30),"Q1","Q2")</f>
        <v/>
      </c>
      <c r="D10" s="25" t="n"/>
      <c r="E10" s="25" t="n"/>
      <c r="F10" s="25" t="n"/>
      <c r="G10" s="25">
        <f>IF(COUNT(E10:F10)=2,E10+F10,"")</f>
        <v/>
      </c>
      <c r="H10" s="29">
        <f>IF(AND(ISNUMBER(G10),N(D10)&gt;0),G10/D10,"")</f>
        <v/>
      </c>
      <c r="I10" s="27">
        <f>IF(ISNUMBER(D10),"Recorded","No data")</f>
        <v/>
      </c>
      <c r="J10" s="7" t="inlineStr">
        <is>
          <t>No recap. Only security emails from LinkedIn this period; no sign of posting.</t>
        </is>
      </c>
    </row>
    <row r="11">
      <c r="A11" s="31" t="n">
        <v>46062</v>
      </c>
      <c r="B11" s="31" t="n">
        <v>46068</v>
      </c>
      <c r="C11" s="27">
        <f>IF(A11&lt;DATE(2026,3,30),"Q1","Q2")</f>
        <v/>
      </c>
      <c r="D11" s="25" t="n"/>
      <c r="E11" s="25" t="n"/>
      <c r="F11" s="25" t="n"/>
      <c r="G11" s="25">
        <f>IF(COUNT(E11:F11)=2,E11+F11,"")</f>
        <v/>
      </c>
      <c r="H11" s="29">
        <f>IF(AND(ISNUMBER(G11),N(D11)&gt;0),G11/D11,"")</f>
        <v/>
      </c>
      <c r="I11" s="27">
        <f>IF(ISNUMBER(D11),"Recorded","No data")</f>
        <v/>
      </c>
      <c r="J11" s="7" t="inlineStr">
        <is>
          <t>No recap. Only security emails from LinkedIn this period; no sign of posting.</t>
        </is>
      </c>
    </row>
    <row r="12">
      <c r="A12" s="31" t="n">
        <v>46069</v>
      </c>
      <c r="B12" s="31" t="n">
        <v>46075</v>
      </c>
      <c r="C12" s="27">
        <f>IF(A12&lt;DATE(2026,3,30),"Q1","Q2")</f>
        <v/>
      </c>
      <c r="D12" s="25" t="n"/>
      <c r="E12" s="25" t="n"/>
      <c r="F12" s="25" t="n"/>
      <c r="G12" s="25">
        <f>IF(COUNT(E12:F12)=2,E12+F12,"")</f>
        <v/>
      </c>
      <c r="H12" s="29">
        <f>IF(AND(ISNUMBER(G12),N(D12)&gt;0),G12/D12,"")</f>
        <v/>
      </c>
      <c r="I12" s="27">
        <f>IF(ISNUMBER(D12),"Recorded","No data")</f>
        <v/>
      </c>
      <c r="J12" s="7" t="inlineStr">
        <is>
          <t>No recap. Only security emails from LinkedIn this period; no sign of posting.</t>
        </is>
      </c>
    </row>
    <row r="13">
      <c r="A13" s="31" t="n">
        <v>46076</v>
      </c>
      <c r="B13" s="31" t="n">
        <v>46082</v>
      </c>
      <c r="C13" s="27">
        <f>IF(A13&lt;DATE(2026,3,30),"Q1","Q2")</f>
        <v/>
      </c>
      <c r="D13" s="25" t="n"/>
      <c r="E13" s="25" t="n"/>
      <c r="F13" s="25" t="n"/>
      <c r="G13" s="25">
        <f>IF(COUNT(E13:F13)=2,E13+F13,"")</f>
        <v/>
      </c>
      <c r="H13" s="29">
        <f>IF(AND(ISNUMBER(G13),N(D13)&gt;0),G13/D13,"")</f>
        <v/>
      </c>
      <c r="I13" s="27">
        <f>IF(ISNUMBER(D13),"Recorded","No data")</f>
        <v/>
      </c>
      <c r="J13" s="7" t="inlineStr">
        <is>
          <t>No recap email. LinkedIn's next recap said 794 was 2.2x this week, so roughly 360 impressions here (implied, not entered).</t>
        </is>
      </c>
    </row>
    <row r="14">
      <c r="A14" s="31" t="n">
        <v>46083</v>
      </c>
      <c r="B14" s="31" t="n">
        <v>46089</v>
      </c>
      <c r="C14" s="27">
        <f>IF(A14&lt;DATE(2026,3,30),"Q1","Q2")</f>
        <v/>
      </c>
      <c r="D14" s="25" t="n">
        <v>794</v>
      </c>
      <c r="E14" s="25" t="n">
        <v>23</v>
      </c>
      <c r="F14" s="25" t="n">
        <v>25</v>
      </c>
      <c r="G14" s="25">
        <f>IF(COUNT(E14:F14)=2,E14+F14,"")</f>
        <v/>
      </c>
      <c r="H14" s="29">
        <f>IF(AND(ISNUMBER(G14),N(D14)&gt;0),G14/D14,"")</f>
        <v/>
      </c>
      <c r="I14" s="27">
        <f>IF(ISNUMBER(D14),"Recorded","No data")</f>
        <v/>
      </c>
      <c r="J14" s="7" t="inlineStr">
        <is>
          <t>PEAK WEEK. Bramasol job announcement posted Mon 2 Mar. LinkedIn: '2.2x impressions and 3.6x reactions more than last week'. Source: recap email 10 Mar.</t>
        </is>
      </c>
    </row>
    <row r="15">
      <c r="A15" s="31" t="n">
        <v>46090</v>
      </c>
      <c r="B15" s="31" t="n">
        <v>46096</v>
      </c>
      <c r="C15" s="27">
        <f>IF(A15&lt;DATE(2026,3,30),"Q1","Q2")</f>
        <v/>
      </c>
      <c r="D15" s="25" t="n"/>
      <c r="E15" s="25" t="n"/>
      <c r="F15" s="25" t="n"/>
      <c r="G15" s="25">
        <f>IF(COUNT(E15:F15)=2,E15+F15,"")</f>
        <v/>
      </c>
      <c r="H15" s="29">
        <f>IF(AND(ISNUMBER(G15),N(D15)&gt;0),G15/D15,"")</f>
        <v/>
      </c>
      <c r="I15" s="27">
        <f>IF(ISNUMBER(D15),"Recorded","No data")</f>
        <v/>
      </c>
      <c r="J15" s="7" t="inlineStr">
        <is>
          <t>No recap. Post kept collecting comments (23 reactions, 18 comments by 13 Mar).</t>
        </is>
      </c>
    </row>
    <row r="16">
      <c r="A16" s="31" t="n">
        <v>46097</v>
      </c>
      <c r="B16" s="31" t="n">
        <v>46103</v>
      </c>
      <c r="C16" s="27">
        <f>IF(A16&lt;DATE(2026,3,30),"Q1","Q2")</f>
        <v/>
      </c>
      <c r="D16" s="25" t="n"/>
      <c r="E16" s="25" t="n"/>
      <c r="F16" s="25" t="n"/>
      <c r="G16" s="25">
        <f>IF(COUNT(E16:F16)=2,E16+F16,"")</f>
        <v/>
      </c>
      <c r="H16" s="29">
        <f>IF(AND(ISNUMBER(G16),N(D16)&gt;0),G16/D16,"")</f>
        <v/>
      </c>
      <c r="I16" s="27">
        <f>IF(ISNUMBER(D16),"Recorded","No data")</f>
        <v/>
      </c>
      <c r="J16" s="7" t="inlineStr">
        <is>
          <t>No recap. Post reached 24 reactions, 20 comments by 24 Mar.</t>
        </is>
      </c>
    </row>
    <row r="17">
      <c r="A17" s="31" t="n">
        <v>46104</v>
      </c>
      <c r="B17" s="31" t="n">
        <v>46110</v>
      </c>
      <c r="C17" s="27">
        <f>IF(A17&lt;DATE(2026,3,30),"Q1","Q2")</f>
        <v/>
      </c>
      <c r="D17" s="25" t="n">
        <v>150</v>
      </c>
      <c r="E17" s="25" t="n">
        <v>1</v>
      </c>
      <c r="F17" s="25" t="n">
        <v>2</v>
      </c>
      <c r="G17" s="25">
        <f>IF(COUNT(E17:F17)=2,E17+F17,"")</f>
        <v/>
      </c>
      <c r="H17" s="29">
        <f>IF(AND(ISNUMBER(G17),N(D17)&gt;0),G17/D17,"")</f>
        <v/>
      </c>
      <c r="I17" s="27">
        <f>IF(ISNUMBER(D17),"Recorded","No data")</f>
        <v/>
      </c>
      <c r="J17" s="7" t="inlineStr">
        <is>
          <t>Source: recap email 31 Mar.</t>
        </is>
      </c>
    </row>
    <row r="18">
      <c r="A18" s="31" t="n">
        <v>46111</v>
      </c>
      <c r="B18" s="31" t="n">
        <v>46117</v>
      </c>
      <c r="C18" s="27">
        <f>IF(A18&lt;DATE(2026,3,30),"Q1","Q2")</f>
        <v/>
      </c>
      <c r="D18" s="25" t="n">
        <v>23</v>
      </c>
      <c r="E18" s="25" t="n"/>
      <c r="F18" s="25" t="n"/>
      <c r="G18" s="25">
        <f>IF(COUNT(E18:F18)=2,E18+F18,"")</f>
        <v/>
      </c>
      <c r="H18" s="29">
        <f>IF(AND(ISNUMBER(G18),N(D18)&gt;0),G18/D18,"")</f>
        <v/>
      </c>
      <c r="I18" s="27">
        <f>IF(ISNUMBER(D18),"Recorded","No data")</f>
        <v/>
      </c>
      <c r="J18" s="7" t="inlineStr">
        <is>
          <t>Only impressions shown. Week straddles Q1 and Q2. Source: recap email 7 Apr.</t>
        </is>
      </c>
    </row>
    <row r="19">
      <c r="A19" s="31" t="n">
        <v>46118</v>
      </c>
      <c r="B19" s="31" t="n">
        <v>46124</v>
      </c>
      <c r="C19" s="27">
        <f>IF(A19&lt;DATE(2026,3,30),"Q1","Q2")</f>
        <v/>
      </c>
      <c r="D19" s="25" t="n"/>
      <c r="E19" s="25" t="n"/>
      <c r="F19" s="25" t="n"/>
      <c r="G19" s="25">
        <f>IF(COUNT(E19:F19)=2,E19+F19,"")</f>
        <v/>
      </c>
      <c r="H19" s="29">
        <f>IF(AND(ISNUMBER(G19),N(D19)&gt;0),G19/D19,"")</f>
        <v/>
      </c>
      <c r="I19" s="27">
        <f>IF(ISNUMBER(D19),"Recorded","No data")</f>
        <v/>
      </c>
      <c r="J19" s="7" t="inlineStr">
        <is>
          <t>No recap. Next recap said 73 was 23.3x this week, so about 3 impressions (implied). Display name changed to 'SK' / 'S. K.' this week.</t>
        </is>
      </c>
    </row>
    <row r="20">
      <c r="A20" s="31" t="n">
        <v>46125</v>
      </c>
      <c r="B20" s="31" t="n">
        <v>46131</v>
      </c>
      <c r="C20" s="27">
        <f>IF(A20&lt;DATE(2026,3,30),"Q1","Q2")</f>
        <v/>
      </c>
      <c r="D20" s="25" t="n">
        <v>73</v>
      </c>
      <c r="E20" s="25" t="n">
        <v>3</v>
      </c>
      <c r="F20" s="25" t="n">
        <v>1</v>
      </c>
      <c r="G20" s="25">
        <f>IF(COUNT(E20:F20)=2,E20+F20,"")</f>
        <v/>
      </c>
      <c r="H20" s="29">
        <f>IF(AND(ISNUMBER(G20),N(D20)&gt;0),G20/D20,"")</f>
        <v/>
      </c>
      <c r="I20" s="27">
        <f>IF(ISNUMBER(D20),"Recorded","No data")</f>
        <v/>
      </c>
      <c r="J20" s="7" t="inlineStr">
        <is>
          <t>Source: recap email 21 Apr (sent to 'Shreekant'). Name changed to 'Shreekant Aahire' on 12 Apr.</t>
        </is>
      </c>
    </row>
    <row r="21">
      <c r="A21" s="31" t="n">
        <v>46132</v>
      </c>
      <c r="B21" s="31" t="n">
        <v>46138</v>
      </c>
      <c r="C21" s="27">
        <f>IF(A21&lt;DATE(2026,3,30),"Q1","Q2")</f>
        <v/>
      </c>
      <c r="D21" s="25" t="n"/>
      <c r="E21" s="25" t="n"/>
      <c r="F21" s="25" t="n"/>
      <c r="G21" s="25">
        <f>IF(COUNT(E21:F21)=2,E21+F21,"")</f>
        <v/>
      </c>
      <c r="H21" s="29">
        <f>IF(AND(ISNUMBER(G21),N(D21)&gt;0),G21/D21,"")</f>
        <v/>
      </c>
      <c r="I21" s="27">
        <f>IF(ISNUMBER(D21),"Recorded","No data")</f>
        <v/>
      </c>
      <c r="J21" s="7" t="inlineStr">
        <is>
          <t>No recap. You commented on another post on 25 Apr and got 2 replies.</t>
        </is>
      </c>
    </row>
    <row r="22">
      <c r="A22" s="31" t="n">
        <v>46139</v>
      </c>
      <c r="B22" s="31" t="n">
        <v>46145</v>
      </c>
      <c r="C22" s="27">
        <f>IF(A22&lt;DATE(2026,3,30),"Q1","Q2")</f>
        <v/>
      </c>
      <c r="D22" s="25" t="n"/>
      <c r="E22" s="25" t="n"/>
      <c r="F22" s="25" t="n"/>
      <c r="G22" s="25">
        <f>IF(COUNT(E22:F22)=2,E22+F22,"")</f>
        <v/>
      </c>
      <c r="H22" s="29">
        <f>IF(AND(ISNUMBER(G22),N(D22)&gt;0),G22/D22,"")</f>
        <v/>
      </c>
      <c r="I22" s="27">
        <f>IF(ISNUMBER(D22),"Recorded","No data")</f>
        <v/>
      </c>
      <c r="J22" s="7" t="inlineStr">
        <is>
          <t>No recap. No LinkedIn emails of any kind in May.</t>
        </is>
      </c>
    </row>
    <row r="23">
      <c r="A23" s="31" t="n">
        <v>46146</v>
      </c>
      <c r="B23" s="31" t="n">
        <v>46152</v>
      </c>
      <c r="C23" s="27">
        <f>IF(A23&lt;DATE(2026,3,30),"Q1","Q2")</f>
        <v/>
      </c>
      <c r="D23" s="25" t="n"/>
      <c r="E23" s="25" t="n"/>
      <c r="F23" s="25" t="n"/>
      <c r="G23" s="25">
        <f>IF(COUNT(E23:F23)=2,E23+F23,"")</f>
        <v/>
      </c>
      <c r="H23" s="29">
        <f>IF(AND(ISNUMBER(G23),N(D23)&gt;0),G23/D23,"")</f>
        <v/>
      </c>
      <c r="I23" s="27">
        <f>IF(ISNUMBER(D23),"Recorded","No data")</f>
        <v/>
      </c>
      <c r="J23" s="7" t="inlineStr">
        <is>
          <t>No recap. No LinkedIn emails of any kind in May.</t>
        </is>
      </c>
    </row>
    <row r="24">
      <c r="A24" s="31" t="n">
        <v>46153</v>
      </c>
      <c r="B24" s="31" t="n">
        <v>46159</v>
      </c>
      <c r="C24" s="27">
        <f>IF(A24&lt;DATE(2026,3,30),"Q1","Q2")</f>
        <v/>
      </c>
      <c r="D24" s="25" t="n"/>
      <c r="E24" s="25" t="n"/>
      <c r="F24" s="25" t="n"/>
      <c r="G24" s="25">
        <f>IF(COUNT(E24:F24)=2,E24+F24,"")</f>
        <v/>
      </c>
      <c r="H24" s="29">
        <f>IF(AND(ISNUMBER(G24),N(D24)&gt;0),G24/D24,"")</f>
        <v/>
      </c>
      <c r="I24" s="27">
        <f>IF(ISNUMBER(D24),"Recorded","No data")</f>
        <v/>
      </c>
      <c r="J24" s="7" t="inlineStr">
        <is>
          <t>No recap. No LinkedIn emails of any kind in May.</t>
        </is>
      </c>
    </row>
    <row r="25">
      <c r="A25" s="31" t="n">
        <v>46160</v>
      </c>
      <c r="B25" s="31" t="n">
        <v>46166</v>
      </c>
      <c r="C25" s="27">
        <f>IF(A25&lt;DATE(2026,3,30),"Q1","Q2")</f>
        <v/>
      </c>
      <c r="D25" s="25" t="n"/>
      <c r="E25" s="25" t="n"/>
      <c r="F25" s="25" t="n"/>
      <c r="G25" s="25">
        <f>IF(COUNT(E25:F25)=2,E25+F25,"")</f>
        <v/>
      </c>
      <c r="H25" s="29">
        <f>IF(AND(ISNUMBER(G25),N(D25)&gt;0),G25/D25,"")</f>
        <v/>
      </c>
      <c r="I25" s="27">
        <f>IF(ISNUMBER(D25),"Recorded","No data")</f>
        <v/>
      </c>
      <c r="J25" s="7" t="inlineStr">
        <is>
          <t>No recap. No LinkedIn emails of any kind in May.</t>
        </is>
      </c>
    </row>
    <row r="26">
      <c r="A26" s="31" t="n">
        <v>46167</v>
      </c>
      <c r="B26" s="31" t="n">
        <v>46173</v>
      </c>
      <c r="C26" s="27">
        <f>IF(A26&lt;DATE(2026,3,30),"Q1","Q2")</f>
        <v/>
      </c>
      <c r="D26" s="25" t="n"/>
      <c r="E26" s="25" t="n"/>
      <c r="F26" s="25" t="n"/>
      <c r="G26" s="25">
        <f>IF(COUNT(E26:F26)=2,E26+F26,"")</f>
        <v/>
      </c>
      <c r="H26" s="29">
        <f>IF(AND(ISNUMBER(G26),N(D26)&gt;0),G26/D26,"")</f>
        <v/>
      </c>
      <c r="I26" s="27">
        <f>IF(ISNUMBER(D26),"Recorded","No data")</f>
        <v/>
      </c>
      <c r="J26" s="7" t="inlineStr">
        <is>
          <t>No recap. No LinkedIn emails of any kind in May.</t>
        </is>
      </c>
    </row>
    <row r="27">
      <c r="A27" s="31" t="n">
        <v>46174</v>
      </c>
      <c r="B27" s="31" t="n">
        <v>46180</v>
      </c>
      <c r="C27" s="27">
        <f>IF(A27&lt;DATE(2026,3,30),"Q1","Q2")</f>
        <v/>
      </c>
      <c r="D27" s="25" t="n"/>
      <c r="E27" s="25" t="n"/>
      <c r="F27" s="25" t="n"/>
      <c r="G27" s="25">
        <f>IF(COUNT(E27:F27)=2,E27+F27,"")</f>
        <v/>
      </c>
      <c r="H27" s="29">
        <f>IF(AND(ISNUMBER(G27),N(D27)&gt;0),G27/D27,"")</f>
        <v/>
      </c>
      <c r="I27" s="27">
        <f>IF(ISNUMBER(D27),"Recorded","No data")</f>
        <v/>
      </c>
      <c r="J27" s="7" t="inlineStr">
        <is>
          <t>No recap email.</t>
        </is>
      </c>
    </row>
    <row r="28">
      <c r="A28" s="31" t="n">
        <v>46181</v>
      </c>
      <c r="B28" s="31" t="n">
        <v>46187</v>
      </c>
      <c r="C28" s="27">
        <f>IF(A28&lt;DATE(2026,3,30),"Q1","Q2")</f>
        <v/>
      </c>
      <c r="D28" s="25" t="n"/>
      <c r="E28" s="25" t="n"/>
      <c r="F28" s="25" t="n"/>
      <c r="G28" s="25">
        <f>IF(COUNT(E28:F28)=2,E28+F28,"")</f>
        <v/>
      </c>
      <c r="H28" s="29">
        <f>IF(AND(ISNUMBER(G28),N(D28)&gt;0),G28/D28,"")</f>
        <v/>
      </c>
      <c r="I28" s="27">
        <f>IF(ISNUMBER(D28),"Recorded","No data")</f>
        <v/>
      </c>
      <c r="J28" s="7" t="inlineStr">
        <is>
          <t>No recap email.</t>
        </is>
      </c>
    </row>
    <row r="29">
      <c r="A29" s="31" t="n">
        <v>46188</v>
      </c>
      <c r="B29" s="31" t="n">
        <v>46194</v>
      </c>
      <c r="C29" s="27">
        <f>IF(A29&lt;DATE(2026,3,30),"Q1","Q2")</f>
        <v/>
      </c>
      <c r="D29" s="25" t="n"/>
      <c r="E29" s="25" t="n"/>
      <c r="F29" s="25" t="n"/>
      <c r="G29" s="25">
        <f>IF(COUNT(E29:F29)=2,E29+F29,"")</f>
        <v/>
      </c>
      <c r="H29" s="29">
        <f>IF(AND(ISNUMBER(G29),N(D29)&gt;0),G29/D29,"")</f>
        <v/>
      </c>
      <c r="I29" s="27">
        <f>IF(ISNUMBER(D29),"Recorded","No data")</f>
        <v/>
      </c>
      <c r="J29" s="7" t="inlineStr">
        <is>
          <t>No recap. You commented on a Marisa Peer post on 18 Jun and got a reply.</t>
        </is>
      </c>
    </row>
    <row r="30">
      <c r="A30" s="31" t="n">
        <v>46195</v>
      </c>
      <c r="B30" s="31" t="n">
        <v>46201</v>
      </c>
      <c r="C30" s="27">
        <f>IF(A30&lt;DATE(2026,3,30),"Q1","Q2")</f>
        <v/>
      </c>
      <c r="D30" s="25" t="n"/>
      <c r="E30" s="25" t="n"/>
      <c r="F30" s="25" t="n"/>
      <c r="G30" s="25">
        <f>IF(COUNT(E30:F30)=2,E30+F30,"")</f>
        <v/>
      </c>
      <c r="H30" s="29">
        <f>IF(AND(ISNUMBER(G30),N(D30)&gt;0),G30/D30,"")</f>
        <v/>
      </c>
      <c r="I30" s="27">
        <f>IF(ISNUMBER(D30),"Recorded","No data")</f>
        <v/>
      </c>
      <c r="J30" s="7" t="inlineStr">
        <is>
          <t>No recap email.</t>
        </is>
      </c>
    </row>
    <row r="31">
      <c r="A31" s="31" t="n">
        <v>46202</v>
      </c>
      <c r="B31" s="31" t="n">
        <v>46208</v>
      </c>
      <c r="C31" s="27" t="inlineStr">
        <is>
          <t>Q2</t>
        </is>
      </c>
      <c r="D31" s="25" t="n">
        <v>22</v>
      </c>
      <c r="E31" s="25" t="n"/>
      <c r="F31" s="25" t="n"/>
      <c r="G31" s="25">
        <f>IF(COUNT(E31:F31)=2,E31+F31,"")</f>
        <v/>
      </c>
      <c r="H31" s="29">
        <f>IF(AND(ISNUMBER(G31),N(D31)&gt;0),G31/D31,"")</f>
        <v/>
      </c>
      <c r="I31" s="27">
        <f>IF(ISNUMBER(D31),"Recorded","No data")</f>
        <v/>
      </c>
      <c r="J31" s="7" t="inlineStr">
        <is>
          <t>Only impressions shown. Week straddles Q2 and Q3. Source: recap email 7 Jul.</t>
        </is>
      </c>
    </row>
    <row r="32">
      <c r="A32" s="31" t="n">
        <v>46209</v>
      </c>
      <c r="B32" s="31" t="n">
        <v>46215</v>
      </c>
      <c r="C32" s="27">
        <f>IF(A32&lt;DATE(2026,3,30),"Q1","Q2")</f>
        <v/>
      </c>
      <c r="D32" s="25" t="n"/>
      <c r="E32" s="25" t="n"/>
      <c r="F32" s="25" t="n"/>
      <c r="G32" s="25">
        <f>IF(COUNT(E32:F32)=2,E32+F32,"")</f>
        <v/>
      </c>
      <c r="H32" s="29">
        <f>IF(AND(ISNUMBER(G32),N(D32)&gt;0),G32/D32,"")</f>
        <v/>
      </c>
      <c r="I32" s="27">
        <f>IF(ISNUMBER(D32),"Recorded","No data")</f>
        <v/>
      </c>
      <c r="J32" s="7" t="inlineStr">
        <is>
          <t>No recap email.</t>
        </is>
      </c>
    </row>
    <row r="33">
      <c r="A33" s="32" t="inlineStr">
        <is>
          <t>TOTAL (recorded weeks)</t>
        </is>
      </c>
      <c r="B33" s="32" t="n"/>
      <c r="C33" s="32" t="n"/>
      <c r="D33" s="33">
        <f>SUM(D5:D32)</f>
        <v/>
      </c>
      <c r="E33" s="33">
        <f>SUM(E5:E32)</f>
        <v/>
      </c>
      <c r="F33" s="33">
        <f>SUM(F5:F32)</f>
        <v/>
      </c>
      <c r="G33" s="33">
        <f>SUM(G5:G32)</f>
        <v/>
      </c>
      <c r="H33" s="34">
        <f>IFERROR(SUM(G5:G32)/SUMPRODUCT(ISNUMBER(G5:G32)*1,D5:D32),"")</f>
        <v/>
      </c>
      <c r="I33" s="32">
        <f>COUNTIF(I5:I32,"Recorded")&amp;" of "&amp;ROWS(I5:I32)&amp;" weeks"</f>
        <v/>
      </c>
      <c r="J33" s="32" t="n"/>
    </row>
    <row r="34" ht="28" customHeight="1">
      <c r="A34" s="35" t="inlineStr">
        <is>
          <t>Engagement rate = (reactions + comments) / impressions, only for weeks where LinkedIn reported both. Weeks are Monday to Sunday, matching LinkedIn's recap emails. The 30 Mar week (5 of 7 days in Q2) and the 29 Jun week (the only late-June reading) both straddle quarters and are counted in Q2.</t>
        </is>
      </c>
    </row>
  </sheetData>
  <mergeCells count="4">
    <mergeCell ref="A34:J34"/>
    <mergeCell ref="A1:J1"/>
    <mergeCell ref="A33:C33"/>
    <mergeCell ref="A2:J2"/>
  </mergeCells>
  <conditionalFormatting sqref="A5:J32">
    <cfRule type="expression" priority="1" dxfId="3">
      <formula>$I5="Recorded"</formula>
    </cfRule>
    <cfRule type="expression" priority="2" dxfId="4">
      <formula>$I5="No data"</formula>
    </cfRule>
  </conditionalFormatting>
  <conditionalFormatting sqref="D5:D32">
    <cfRule type="expression" priority="3" dxfId="5">
      <formula>D5=MAX($D$5:$D$32)</formula>
    </cfRule>
  </conditionalFormatting>
  <pageMargins left="0.75" right="0.75" top="1" bottom="1" header="0.5" footer="0.5"/>
  <pageSetup orientation="landscape" fitToHeight="0" fitToWidth="1"/>
</worksheet>
</file>

<file path=xl/worksheets/sheet4.xml><?xml version="1.0" encoding="utf-8"?>
<worksheet xmlns="http://schemas.openxmlformats.org/spreadsheetml/2006/main">
  <sheetPr>
    <tabColor rgb="002E75B6"/>
    <outlinePr summaryBelow="1" summaryRight="1"/>
    <pageSetUpPr fitToPage="1"/>
  </sheetPr>
  <dimension ref="A1:M42"/>
  <sheetViews>
    <sheetView showGridLines="0" workbookViewId="0">
      <pane xSplit="4" ySplit="4" topLeftCell="E5" activePane="bottomRight" state="frozen"/>
      <selection pane="topRight"/>
      <selection pane="bottomLeft"/>
      <selection pane="bottomRight" activeCell="A1" sqref="A1"/>
    </sheetView>
  </sheetViews>
  <sheetFormatPr baseColWidth="8" defaultRowHeight="15"/>
  <cols>
    <col width="5" customWidth="1" min="1" max="1"/>
    <col width="12" customWidth="1" min="2" max="2"/>
    <col width="8" customWidth="1" min="3" max="3"/>
    <col width="34" customWidth="1" min="4" max="4"/>
    <col width="12" customWidth="1" min="5" max="5"/>
    <col width="14" customWidth="1" min="6" max="6"/>
    <col width="12" customWidth="1" min="7" max="7"/>
    <col width="12" customWidth="1" min="8" max="8"/>
    <col width="11" customWidth="1" min="9" max="9"/>
    <col width="11" customWidth="1" min="10" max="10"/>
    <col width="12" customWidth="1" min="11" max="11"/>
    <col width="12" customWidth="1" min="12" max="12"/>
    <col width="40" customWidth="1" min="13" max="13"/>
  </cols>
  <sheetData>
    <row r="1" ht="32" customHeight="1">
      <c r="A1" s="1" t="inlineStr">
        <is>
          <t>Post Log: every post, side by side</t>
        </is>
      </c>
    </row>
    <row r="2" ht="30" customHeight="1">
      <c r="A2" s="2" t="inlineStr">
        <is>
          <t>Green row = numbers read from LinkedIn notification emails. Yellow rows = paste each post from your LinkedIn Content export (Top posts tab). Engagement rate and rating calculate on their own.</t>
        </is>
      </c>
    </row>
    <row r="4" ht="30" customHeight="1">
      <c r="A4" s="5" t="inlineStr">
        <is>
          <t>#</t>
        </is>
      </c>
      <c r="B4" s="5" t="inlineStr">
        <is>
          <t>Date</t>
        </is>
      </c>
      <c r="C4" s="5" t="inlineStr">
        <is>
          <t>Qtr</t>
        </is>
      </c>
      <c r="D4" s="5" t="inlineStr">
        <is>
          <t>Topic / first line</t>
        </is>
      </c>
      <c r="E4" s="5" t="inlineStr">
        <is>
          <t>Format</t>
        </is>
      </c>
      <c r="F4" s="5" t="inlineStr">
        <is>
          <t>Content pillar</t>
        </is>
      </c>
      <c r="G4" s="5" t="inlineStr">
        <is>
          <t>Impressions</t>
        </is>
      </c>
      <c r="H4" s="5" t="inlineStr">
        <is>
          <t>Reactions</t>
        </is>
      </c>
      <c r="I4" s="5" t="inlineStr">
        <is>
          <t>Comments</t>
        </is>
      </c>
      <c r="J4" s="5" t="inlineStr">
        <is>
          <t>Reposts</t>
        </is>
      </c>
      <c r="K4" s="5" t="inlineStr">
        <is>
          <t>Engagement rate</t>
        </is>
      </c>
      <c r="L4" s="5" t="inlineStr">
        <is>
          <t>Rating</t>
        </is>
      </c>
      <c r="M4" s="5" t="inlineStr">
        <is>
          <t>Notes / source</t>
        </is>
      </c>
    </row>
    <row r="5" ht="75" customHeight="1">
      <c r="A5" s="36" t="n">
        <v>1</v>
      </c>
      <c r="B5" s="37" t="n">
        <v>46083</v>
      </c>
      <c r="C5" s="36">
        <f>IF(B5="","",IF(MONTH(B5)&lt;=3,"Q1",IF(MONTH(B5)&lt;=6,"Q2",IF(MONTH(B5)&lt;=9,"Q3","Q4"))))</f>
        <v/>
      </c>
      <c r="D5" s="38" t="inlineStr">
        <is>
          <t>I'm happy to share that I'm starting a new position as Operational Sales Consultant at Bramasol, Inc.!</t>
        </is>
      </c>
      <c r="E5" s="36" t="inlineStr">
        <is>
          <t>Job update</t>
        </is>
      </c>
      <c r="F5" s="36" t="inlineStr">
        <is>
          <t>Personal milestone</t>
        </is>
      </c>
      <c r="G5" s="39" t="n"/>
      <c r="H5" s="39" t="n">
        <v>24</v>
      </c>
      <c r="I5" s="39" t="n">
        <v>20</v>
      </c>
      <c r="J5" s="39" t="n"/>
      <c r="K5" s="40">
        <f>IF(N(G5)&gt;0,(N(H5)+N(I5)+N(J5))/G5,"")</f>
        <v/>
      </c>
      <c r="L5" s="36">
        <f>IF(K5="","",IF(K5&gt;=0.035,"Strong",IF(K5&gt;=0.0256,"On par","Below")))</f>
        <v/>
      </c>
      <c r="M5" s="38" t="inlineStr">
        <is>
          <t>Reactions and comments as of 24 Mar 2026 (Gmail 'commented on your post'). Impressions not reported per post; its launch week had 794. Comment from John Froelich: 'very excited to have you on the team'.</t>
        </is>
      </c>
    </row>
    <row r="6">
      <c r="A6" s="27" t="n">
        <v>2</v>
      </c>
      <c r="B6" s="41" t="n"/>
      <c r="C6" s="27">
        <f>IF(B6="","",IF(MONTH(B6)&lt;=3,"Q1",IF(MONTH(B6)&lt;=6,"Q2",IF(MONTH(B6)&lt;=9,"Q3","Q4"))))</f>
        <v/>
      </c>
      <c r="D6" s="42" t="n"/>
      <c r="E6" s="43" t="n"/>
      <c r="F6" s="43" t="n"/>
      <c r="G6" s="44" t="n"/>
      <c r="H6" s="44" t="n"/>
      <c r="I6" s="44" t="n"/>
      <c r="J6" s="44" t="n"/>
      <c r="K6" s="29">
        <f>IF(N(G6)&gt;0,(N(H6)+N(I6)+N(J6))/G6,"")</f>
        <v/>
      </c>
      <c r="L6" s="27">
        <f>IF(K6="","",IF(K6&gt;=0.035,"Strong",IF(K6&gt;=0.0256,"On par","Below")))</f>
        <v/>
      </c>
      <c r="M6" s="42" t="n"/>
    </row>
    <row r="7">
      <c r="A7" s="27" t="n">
        <v>3</v>
      </c>
      <c r="B7" s="41" t="n"/>
      <c r="C7" s="27">
        <f>IF(B7="","",IF(MONTH(B7)&lt;=3,"Q1",IF(MONTH(B7)&lt;=6,"Q2",IF(MONTH(B7)&lt;=9,"Q3","Q4"))))</f>
        <v/>
      </c>
      <c r="D7" s="42" t="n"/>
      <c r="E7" s="43" t="n"/>
      <c r="F7" s="43" t="n"/>
      <c r="G7" s="44" t="n"/>
      <c r="H7" s="44" t="n"/>
      <c r="I7" s="44" t="n"/>
      <c r="J7" s="44" t="n"/>
      <c r="K7" s="29">
        <f>IF(N(G7)&gt;0,(N(H7)+N(I7)+N(J7))/G7,"")</f>
        <v/>
      </c>
      <c r="L7" s="27">
        <f>IF(K7="","",IF(K7&gt;=0.035,"Strong",IF(K7&gt;=0.0256,"On par","Below")))</f>
        <v/>
      </c>
      <c r="M7" s="42" t="n"/>
    </row>
    <row r="8">
      <c r="A8" s="27" t="n">
        <v>4</v>
      </c>
      <c r="B8" s="41" t="n"/>
      <c r="C8" s="27">
        <f>IF(B8="","",IF(MONTH(B8)&lt;=3,"Q1",IF(MONTH(B8)&lt;=6,"Q2",IF(MONTH(B8)&lt;=9,"Q3","Q4"))))</f>
        <v/>
      </c>
      <c r="D8" s="42" t="n"/>
      <c r="E8" s="43" t="n"/>
      <c r="F8" s="43" t="n"/>
      <c r="G8" s="44" t="n"/>
      <c r="H8" s="44" t="n"/>
      <c r="I8" s="44" t="n"/>
      <c r="J8" s="44" t="n"/>
      <c r="K8" s="29">
        <f>IF(N(G8)&gt;0,(N(H8)+N(I8)+N(J8))/G8,"")</f>
        <v/>
      </c>
      <c r="L8" s="27">
        <f>IF(K8="","",IF(K8&gt;=0.035,"Strong",IF(K8&gt;=0.0256,"On par","Below")))</f>
        <v/>
      </c>
      <c r="M8" s="42" t="n"/>
    </row>
    <row r="9">
      <c r="A9" s="27" t="n">
        <v>5</v>
      </c>
      <c r="B9" s="41" t="n"/>
      <c r="C9" s="27">
        <f>IF(B9="","",IF(MONTH(B9)&lt;=3,"Q1",IF(MONTH(B9)&lt;=6,"Q2",IF(MONTH(B9)&lt;=9,"Q3","Q4"))))</f>
        <v/>
      </c>
      <c r="D9" s="42" t="n"/>
      <c r="E9" s="43" t="n"/>
      <c r="F9" s="43" t="n"/>
      <c r="G9" s="44" t="n"/>
      <c r="H9" s="44" t="n"/>
      <c r="I9" s="44" t="n"/>
      <c r="J9" s="44" t="n"/>
      <c r="K9" s="29">
        <f>IF(N(G9)&gt;0,(N(H9)+N(I9)+N(J9))/G9,"")</f>
        <v/>
      </c>
      <c r="L9" s="27">
        <f>IF(K9="","",IF(K9&gt;=0.035,"Strong",IF(K9&gt;=0.0256,"On par","Below")))</f>
        <v/>
      </c>
      <c r="M9" s="42" t="n"/>
    </row>
    <row r="10">
      <c r="A10" s="27" t="n">
        <v>6</v>
      </c>
      <c r="B10" s="41" t="n"/>
      <c r="C10" s="27">
        <f>IF(B10="","",IF(MONTH(B10)&lt;=3,"Q1",IF(MONTH(B10)&lt;=6,"Q2",IF(MONTH(B10)&lt;=9,"Q3","Q4"))))</f>
        <v/>
      </c>
      <c r="D10" s="42" t="n"/>
      <c r="E10" s="43" t="n"/>
      <c r="F10" s="43" t="n"/>
      <c r="G10" s="44" t="n"/>
      <c r="H10" s="44" t="n"/>
      <c r="I10" s="44" t="n"/>
      <c r="J10" s="44" t="n"/>
      <c r="K10" s="29">
        <f>IF(N(G10)&gt;0,(N(H10)+N(I10)+N(J10))/G10,"")</f>
        <v/>
      </c>
      <c r="L10" s="27">
        <f>IF(K10="","",IF(K10&gt;=0.035,"Strong",IF(K10&gt;=0.0256,"On par","Below")))</f>
        <v/>
      </c>
      <c r="M10" s="42" t="n"/>
    </row>
    <row r="11">
      <c r="A11" s="27" t="n">
        <v>7</v>
      </c>
      <c r="B11" s="41" t="n"/>
      <c r="C11" s="27">
        <f>IF(B11="","",IF(MONTH(B11)&lt;=3,"Q1",IF(MONTH(B11)&lt;=6,"Q2",IF(MONTH(B11)&lt;=9,"Q3","Q4"))))</f>
        <v/>
      </c>
      <c r="D11" s="42" t="n"/>
      <c r="E11" s="43" t="n"/>
      <c r="F11" s="43" t="n"/>
      <c r="G11" s="44" t="n"/>
      <c r="H11" s="44" t="n"/>
      <c r="I11" s="44" t="n"/>
      <c r="J11" s="44" t="n"/>
      <c r="K11" s="29">
        <f>IF(N(G11)&gt;0,(N(H11)+N(I11)+N(J11))/G11,"")</f>
        <v/>
      </c>
      <c r="L11" s="27">
        <f>IF(K11="","",IF(K11&gt;=0.035,"Strong",IF(K11&gt;=0.0256,"On par","Below")))</f>
        <v/>
      </c>
      <c r="M11" s="42" t="n"/>
    </row>
    <row r="12">
      <c r="A12" s="27" t="n">
        <v>8</v>
      </c>
      <c r="B12" s="41" t="n"/>
      <c r="C12" s="27">
        <f>IF(B12="","",IF(MONTH(B12)&lt;=3,"Q1",IF(MONTH(B12)&lt;=6,"Q2",IF(MONTH(B12)&lt;=9,"Q3","Q4"))))</f>
        <v/>
      </c>
      <c r="D12" s="42" t="n"/>
      <c r="E12" s="43" t="n"/>
      <c r="F12" s="43" t="n"/>
      <c r="G12" s="44" t="n"/>
      <c r="H12" s="44" t="n"/>
      <c r="I12" s="44" t="n"/>
      <c r="J12" s="44" t="n"/>
      <c r="K12" s="29">
        <f>IF(N(G12)&gt;0,(N(H12)+N(I12)+N(J12))/G12,"")</f>
        <v/>
      </c>
      <c r="L12" s="27">
        <f>IF(K12="","",IF(K12&gt;=0.035,"Strong",IF(K12&gt;=0.0256,"On par","Below")))</f>
        <v/>
      </c>
      <c r="M12" s="42" t="n"/>
    </row>
    <row r="13">
      <c r="A13" s="27" t="n">
        <v>9</v>
      </c>
      <c r="B13" s="41" t="n"/>
      <c r="C13" s="27">
        <f>IF(B13="","",IF(MONTH(B13)&lt;=3,"Q1",IF(MONTH(B13)&lt;=6,"Q2",IF(MONTH(B13)&lt;=9,"Q3","Q4"))))</f>
        <v/>
      </c>
      <c r="D13" s="42" t="n"/>
      <c r="E13" s="43" t="n"/>
      <c r="F13" s="43" t="n"/>
      <c r="G13" s="44" t="n"/>
      <c r="H13" s="44" t="n"/>
      <c r="I13" s="44" t="n"/>
      <c r="J13" s="44" t="n"/>
      <c r="K13" s="29">
        <f>IF(N(G13)&gt;0,(N(H13)+N(I13)+N(J13))/G13,"")</f>
        <v/>
      </c>
      <c r="L13" s="27">
        <f>IF(K13="","",IF(K13&gt;=0.035,"Strong",IF(K13&gt;=0.0256,"On par","Below")))</f>
        <v/>
      </c>
      <c r="M13" s="42" t="n"/>
    </row>
    <row r="14">
      <c r="A14" s="27" t="n">
        <v>10</v>
      </c>
      <c r="B14" s="41" t="n"/>
      <c r="C14" s="27">
        <f>IF(B14="","",IF(MONTH(B14)&lt;=3,"Q1",IF(MONTH(B14)&lt;=6,"Q2",IF(MONTH(B14)&lt;=9,"Q3","Q4"))))</f>
        <v/>
      </c>
      <c r="D14" s="42" t="n"/>
      <c r="E14" s="43" t="n"/>
      <c r="F14" s="43" t="n"/>
      <c r="G14" s="44" t="n"/>
      <c r="H14" s="44" t="n"/>
      <c r="I14" s="44" t="n"/>
      <c r="J14" s="44" t="n"/>
      <c r="K14" s="29">
        <f>IF(N(G14)&gt;0,(N(H14)+N(I14)+N(J14))/G14,"")</f>
        <v/>
      </c>
      <c r="L14" s="27">
        <f>IF(K14="","",IF(K14&gt;=0.035,"Strong",IF(K14&gt;=0.0256,"On par","Below")))</f>
        <v/>
      </c>
      <c r="M14" s="42" t="n"/>
    </row>
    <row r="15">
      <c r="A15" s="27" t="n">
        <v>11</v>
      </c>
      <c r="B15" s="41" t="n"/>
      <c r="C15" s="27">
        <f>IF(B15="","",IF(MONTH(B15)&lt;=3,"Q1",IF(MONTH(B15)&lt;=6,"Q2",IF(MONTH(B15)&lt;=9,"Q3","Q4"))))</f>
        <v/>
      </c>
      <c r="D15" s="42" t="n"/>
      <c r="E15" s="43" t="n"/>
      <c r="F15" s="43" t="n"/>
      <c r="G15" s="44" t="n"/>
      <c r="H15" s="44" t="n"/>
      <c r="I15" s="44" t="n"/>
      <c r="J15" s="44" t="n"/>
      <c r="K15" s="29">
        <f>IF(N(G15)&gt;0,(N(H15)+N(I15)+N(J15))/G15,"")</f>
        <v/>
      </c>
      <c r="L15" s="27">
        <f>IF(K15="","",IF(K15&gt;=0.035,"Strong",IF(K15&gt;=0.0256,"On par","Below")))</f>
        <v/>
      </c>
      <c r="M15" s="42" t="n"/>
    </row>
    <row r="16">
      <c r="A16" s="27" t="n">
        <v>12</v>
      </c>
      <c r="B16" s="41" t="n"/>
      <c r="C16" s="27">
        <f>IF(B16="","",IF(MONTH(B16)&lt;=3,"Q1",IF(MONTH(B16)&lt;=6,"Q2",IF(MONTH(B16)&lt;=9,"Q3","Q4"))))</f>
        <v/>
      </c>
      <c r="D16" s="42" t="n"/>
      <c r="E16" s="43" t="n"/>
      <c r="F16" s="43" t="n"/>
      <c r="G16" s="44" t="n"/>
      <c r="H16" s="44" t="n"/>
      <c r="I16" s="44" t="n"/>
      <c r="J16" s="44" t="n"/>
      <c r="K16" s="29">
        <f>IF(N(G16)&gt;0,(N(H16)+N(I16)+N(J16))/G16,"")</f>
        <v/>
      </c>
      <c r="L16" s="27">
        <f>IF(K16="","",IF(K16&gt;=0.035,"Strong",IF(K16&gt;=0.0256,"On par","Below")))</f>
        <v/>
      </c>
      <c r="M16" s="42" t="n"/>
    </row>
    <row r="17">
      <c r="A17" s="27" t="n">
        <v>13</v>
      </c>
      <c r="B17" s="41" t="n"/>
      <c r="C17" s="27">
        <f>IF(B17="","",IF(MONTH(B17)&lt;=3,"Q1",IF(MONTH(B17)&lt;=6,"Q2",IF(MONTH(B17)&lt;=9,"Q3","Q4"))))</f>
        <v/>
      </c>
      <c r="D17" s="42" t="n"/>
      <c r="E17" s="43" t="n"/>
      <c r="F17" s="43" t="n"/>
      <c r="G17" s="44" t="n"/>
      <c r="H17" s="44" t="n"/>
      <c r="I17" s="44" t="n"/>
      <c r="J17" s="44" t="n"/>
      <c r="K17" s="29">
        <f>IF(N(G17)&gt;0,(N(H17)+N(I17)+N(J17))/G17,"")</f>
        <v/>
      </c>
      <c r="L17" s="27">
        <f>IF(K17="","",IF(K17&gt;=0.035,"Strong",IF(K17&gt;=0.0256,"On par","Below")))</f>
        <v/>
      </c>
      <c r="M17" s="42" t="n"/>
    </row>
    <row r="18">
      <c r="A18" s="27" t="n">
        <v>14</v>
      </c>
      <c r="B18" s="41" t="n"/>
      <c r="C18" s="27">
        <f>IF(B18="","",IF(MONTH(B18)&lt;=3,"Q1",IF(MONTH(B18)&lt;=6,"Q2",IF(MONTH(B18)&lt;=9,"Q3","Q4"))))</f>
        <v/>
      </c>
      <c r="D18" s="42" t="n"/>
      <c r="E18" s="43" t="n"/>
      <c r="F18" s="43" t="n"/>
      <c r="G18" s="44" t="n"/>
      <c r="H18" s="44" t="n"/>
      <c r="I18" s="44" t="n"/>
      <c r="J18" s="44" t="n"/>
      <c r="K18" s="29">
        <f>IF(N(G18)&gt;0,(N(H18)+N(I18)+N(J18))/G18,"")</f>
        <v/>
      </c>
      <c r="L18" s="27">
        <f>IF(K18="","",IF(K18&gt;=0.035,"Strong",IF(K18&gt;=0.0256,"On par","Below")))</f>
        <v/>
      </c>
      <c r="M18" s="42" t="n"/>
    </row>
    <row r="19">
      <c r="A19" s="27" t="n">
        <v>15</v>
      </c>
      <c r="B19" s="41" t="n"/>
      <c r="C19" s="27">
        <f>IF(B19="","",IF(MONTH(B19)&lt;=3,"Q1",IF(MONTH(B19)&lt;=6,"Q2",IF(MONTH(B19)&lt;=9,"Q3","Q4"))))</f>
        <v/>
      </c>
      <c r="D19" s="42" t="n"/>
      <c r="E19" s="43" t="n"/>
      <c r="F19" s="43" t="n"/>
      <c r="G19" s="44" t="n"/>
      <c r="H19" s="44" t="n"/>
      <c r="I19" s="44" t="n"/>
      <c r="J19" s="44" t="n"/>
      <c r="K19" s="29">
        <f>IF(N(G19)&gt;0,(N(H19)+N(I19)+N(J19))/G19,"")</f>
        <v/>
      </c>
      <c r="L19" s="27">
        <f>IF(K19="","",IF(K19&gt;=0.035,"Strong",IF(K19&gt;=0.0256,"On par","Below")))</f>
        <v/>
      </c>
      <c r="M19" s="42" t="n"/>
    </row>
    <row r="20">
      <c r="A20" s="27" t="n">
        <v>16</v>
      </c>
      <c r="B20" s="41" t="n"/>
      <c r="C20" s="27">
        <f>IF(B20="","",IF(MONTH(B20)&lt;=3,"Q1",IF(MONTH(B20)&lt;=6,"Q2",IF(MONTH(B20)&lt;=9,"Q3","Q4"))))</f>
        <v/>
      </c>
      <c r="D20" s="42" t="n"/>
      <c r="E20" s="43" t="n"/>
      <c r="F20" s="43" t="n"/>
      <c r="G20" s="44" t="n"/>
      <c r="H20" s="44" t="n"/>
      <c r="I20" s="44" t="n"/>
      <c r="J20" s="44" t="n"/>
      <c r="K20" s="29">
        <f>IF(N(G20)&gt;0,(N(H20)+N(I20)+N(J20))/G20,"")</f>
        <v/>
      </c>
      <c r="L20" s="27">
        <f>IF(K20="","",IF(K20&gt;=0.035,"Strong",IF(K20&gt;=0.0256,"On par","Below")))</f>
        <v/>
      </c>
      <c r="M20" s="42" t="n"/>
    </row>
    <row r="21">
      <c r="A21" s="27" t="n">
        <v>17</v>
      </c>
      <c r="B21" s="41" t="n"/>
      <c r="C21" s="27">
        <f>IF(B21="","",IF(MONTH(B21)&lt;=3,"Q1",IF(MONTH(B21)&lt;=6,"Q2",IF(MONTH(B21)&lt;=9,"Q3","Q4"))))</f>
        <v/>
      </c>
      <c r="D21" s="42" t="n"/>
      <c r="E21" s="43" t="n"/>
      <c r="F21" s="43" t="n"/>
      <c r="G21" s="44" t="n"/>
      <c r="H21" s="44" t="n"/>
      <c r="I21" s="44" t="n"/>
      <c r="J21" s="44" t="n"/>
      <c r="K21" s="29">
        <f>IF(N(G21)&gt;0,(N(H21)+N(I21)+N(J21))/G21,"")</f>
        <v/>
      </c>
      <c r="L21" s="27">
        <f>IF(K21="","",IF(K21&gt;=0.035,"Strong",IF(K21&gt;=0.0256,"On par","Below")))</f>
        <v/>
      </c>
      <c r="M21" s="42" t="n"/>
    </row>
    <row r="22">
      <c r="A22" s="27" t="n">
        <v>18</v>
      </c>
      <c r="B22" s="41" t="n"/>
      <c r="C22" s="27">
        <f>IF(B22="","",IF(MONTH(B22)&lt;=3,"Q1",IF(MONTH(B22)&lt;=6,"Q2",IF(MONTH(B22)&lt;=9,"Q3","Q4"))))</f>
        <v/>
      </c>
      <c r="D22" s="42" t="n"/>
      <c r="E22" s="43" t="n"/>
      <c r="F22" s="43" t="n"/>
      <c r="G22" s="44" t="n"/>
      <c r="H22" s="44" t="n"/>
      <c r="I22" s="44" t="n"/>
      <c r="J22" s="44" t="n"/>
      <c r="K22" s="29">
        <f>IF(N(G22)&gt;0,(N(H22)+N(I22)+N(J22))/G22,"")</f>
        <v/>
      </c>
      <c r="L22" s="27">
        <f>IF(K22="","",IF(K22&gt;=0.035,"Strong",IF(K22&gt;=0.0256,"On par","Below")))</f>
        <v/>
      </c>
      <c r="M22" s="42" t="n"/>
    </row>
    <row r="23">
      <c r="A23" s="27" t="n">
        <v>19</v>
      </c>
      <c r="B23" s="41" t="n"/>
      <c r="C23" s="27">
        <f>IF(B23="","",IF(MONTH(B23)&lt;=3,"Q1",IF(MONTH(B23)&lt;=6,"Q2",IF(MONTH(B23)&lt;=9,"Q3","Q4"))))</f>
        <v/>
      </c>
      <c r="D23" s="42" t="n"/>
      <c r="E23" s="43" t="n"/>
      <c r="F23" s="43" t="n"/>
      <c r="G23" s="44" t="n"/>
      <c r="H23" s="44" t="n"/>
      <c r="I23" s="44" t="n"/>
      <c r="J23" s="44" t="n"/>
      <c r="K23" s="29">
        <f>IF(N(G23)&gt;0,(N(H23)+N(I23)+N(J23))/G23,"")</f>
        <v/>
      </c>
      <c r="L23" s="27">
        <f>IF(K23="","",IF(K23&gt;=0.035,"Strong",IF(K23&gt;=0.0256,"On par","Below")))</f>
        <v/>
      </c>
      <c r="M23" s="42" t="n"/>
    </row>
    <row r="24">
      <c r="A24" s="27" t="n">
        <v>20</v>
      </c>
      <c r="B24" s="41" t="n"/>
      <c r="C24" s="27">
        <f>IF(B24="","",IF(MONTH(B24)&lt;=3,"Q1",IF(MONTH(B24)&lt;=6,"Q2",IF(MONTH(B24)&lt;=9,"Q3","Q4"))))</f>
        <v/>
      </c>
      <c r="D24" s="42" t="n"/>
      <c r="E24" s="43" t="n"/>
      <c r="F24" s="43" t="n"/>
      <c r="G24" s="44" t="n"/>
      <c r="H24" s="44" t="n"/>
      <c r="I24" s="44" t="n"/>
      <c r="J24" s="44" t="n"/>
      <c r="K24" s="29">
        <f>IF(N(G24)&gt;0,(N(H24)+N(I24)+N(J24))/G24,"")</f>
        <v/>
      </c>
      <c r="L24" s="27">
        <f>IF(K24="","",IF(K24&gt;=0.035,"Strong",IF(K24&gt;=0.0256,"On par","Below")))</f>
        <v/>
      </c>
      <c r="M24" s="42" t="n"/>
    </row>
    <row r="25">
      <c r="A25" s="27" t="n">
        <v>21</v>
      </c>
      <c r="B25" s="41" t="n"/>
      <c r="C25" s="27">
        <f>IF(B25="","",IF(MONTH(B25)&lt;=3,"Q1",IF(MONTH(B25)&lt;=6,"Q2",IF(MONTH(B25)&lt;=9,"Q3","Q4"))))</f>
        <v/>
      </c>
      <c r="D25" s="42" t="n"/>
      <c r="E25" s="43" t="n"/>
      <c r="F25" s="43" t="n"/>
      <c r="G25" s="44" t="n"/>
      <c r="H25" s="44" t="n"/>
      <c r="I25" s="44" t="n"/>
      <c r="J25" s="44" t="n"/>
      <c r="K25" s="29">
        <f>IF(N(G25)&gt;0,(N(H25)+N(I25)+N(J25))/G25,"")</f>
        <v/>
      </c>
      <c r="L25" s="27">
        <f>IF(K25="","",IF(K25&gt;=0.035,"Strong",IF(K25&gt;=0.0256,"On par","Below")))</f>
        <v/>
      </c>
      <c r="M25" s="42" t="n"/>
    </row>
    <row r="26">
      <c r="A26" s="27" t="n">
        <v>22</v>
      </c>
      <c r="B26" s="41" t="n"/>
      <c r="C26" s="27">
        <f>IF(B26="","",IF(MONTH(B26)&lt;=3,"Q1",IF(MONTH(B26)&lt;=6,"Q2",IF(MONTH(B26)&lt;=9,"Q3","Q4"))))</f>
        <v/>
      </c>
      <c r="D26" s="42" t="n"/>
      <c r="E26" s="43" t="n"/>
      <c r="F26" s="43" t="n"/>
      <c r="G26" s="44" t="n"/>
      <c r="H26" s="44" t="n"/>
      <c r="I26" s="44" t="n"/>
      <c r="J26" s="44" t="n"/>
      <c r="K26" s="29">
        <f>IF(N(G26)&gt;0,(N(H26)+N(I26)+N(J26))/G26,"")</f>
        <v/>
      </c>
      <c r="L26" s="27">
        <f>IF(K26="","",IF(K26&gt;=0.035,"Strong",IF(K26&gt;=0.0256,"On par","Below")))</f>
        <v/>
      </c>
      <c r="M26" s="42" t="n"/>
    </row>
    <row r="27">
      <c r="A27" s="27" t="n">
        <v>23</v>
      </c>
      <c r="B27" s="41" t="n"/>
      <c r="C27" s="27">
        <f>IF(B27="","",IF(MONTH(B27)&lt;=3,"Q1",IF(MONTH(B27)&lt;=6,"Q2",IF(MONTH(B27)&lt;=9,"Q3","Q4"))))</f>
        <v/>
      </c>
      <c r="D27" s="42" t="n"/>
      <c r="E27" s="43" t="n"/>
      <c r="F27" s="43" t="n"/>
      <c r="G27" s="44" t="n"/>
      <c r="H27" s="44" t="n"/>
      <c r="I27" s="44" t="n"/>
      <c r="J27" s="44" t="n"/>
      <c r="K27" s="29">
        <f>IF(N(G27)&gt;0,(N(H27)+N(I27)+N(J27))/G27,"")</f>
        <v/>
      </c>
      <c r="L27" s="27">
        <f>IF(K27="","",IF(K27&gt;=0.035,"Strong",IF(K27&gt;=0.0256,"On par","Below")))</f>
        <v/>
      </c>
      <c r="M27" s="42" t="n"/>
    </row>
    <row r="28">
      <c r="A28" s="27" t="n">
        <v>24</v>
      </c>
      <c r="B28" s="41" t="n"/>
      <c r="C28" s="27">
        <f>IF(B28="","",IF(MONTH(B28)&lt;=3,"Q1",IF(MONTH(B28)&lt;=6,"Q2",IF(MONTH(B28)&lt;=9,"Q3","Q4"))))</f>
        <v/>
      </c>
      <c r="D28" s="42" t="n"/>
      <c r="E28" s="43" t="n"/>
      <c r="F28" s="43" t="n"/>
      <c r="G28" s="44" t="n"/>
      <c r="H28" s="44" t="n"/>
      <c r="I28" s="44" t="n"/>
      <c r="J28" s="44" t="n"/>
      <c r="K28" s="29">
        <f>IF(N(G28)&gt;0,(N(H28)+N(I28)+N(J28))/G28,"")</f>
        <v/>
      </c>
      <c r="L28" s="27">
        <f>IF(K28="","",IF(K28&gt;=0.035,"Strong",IF(K28&gt;=0.0256,"On par","Below")))</f>
        <v/>
      </c>
      <c r="M28" s="42" t="n"/>
    </row>
    <row r="29">
      <c r="A29" s="27" t="n">
        <v>25</v>
      </c>
      <c r="B29" s="41" t="n"/>
      <c r="C29" s="27">
        <f>IF(B29="","",IF(MONTH(B29)&lt;=3,"Q1",IF(MONTH(B29)&lt;=6,"Q2",IF(MONTH(B29)&lt;=9,"Q3","Q4"))))</f>
        <v/>
      </c>
      <c r="D29" s="42" t="n"/>
      <c r="E29" s="43" t="n"/>
      <c r="F29" s="43" t="n"/>
      <c r="G29" s="44" t="n"/>
      <c r="H29" s="44" t="n"/>
      <c r="I29" s="44" t="n"/>
      <c r="J29" s="44" t="n"/>
      <c r="K29" s="29">
        <f>IF(N(G29)&gt;0,(N(H29)+N(I29)+N(J29))/G29,"")</f>
        <v/>
      </c>
      <c r="L29" s="27">
        <f>IF(K29="","",IF(K29&gt;=0.035,"Strong",IF(K29&gt;=0.0256,"On par","Below")))</f>
        <v/>
      </c>
      <c r="M29" s="42" t="n"/>
    </row>
    <row r="30">
      <c r="A30" s="27" t="n">
        <v>26</v>
      </c>
      <c r="B30" s="41" t="n"/>
      <c r="C30" s="27">
        <f>IF(B30="","",IF(MONTH(B30)&lt;=3,"Q1",IF(MONTH(B30)&lt;=6,"Q2",IF(MONTH(B30)&lt;=9,"Q3","Q4"))))</f>
        <v/>
      </c>
      <c r="D30" s="42" t="n"/>
      <c r="E30" s="43" t="n"/>
      <c r="F30" s="43" t="n"/>
      <c r="G30" s="44" t="n"/>
      <c r="H30" s="44" t="n"/>
      <c r="I30" s="44" t="n"/>
      <c r="J30" s="44" t="n"/>
      <c r="K30" s="29">
        <f>IF(N(G30)&gt;0,(N(H30)+N(I30)+N(J30))/G30,"")</f>
        <v/>
      </c>
      <c r="L30" s="27">
        <f>IF(K30="","",IF(K30&gt;=0.035,"Strong",IF(K30&gt;=0.0256,"On par","Below")))</f>
        <v/>
      </c>
      <c r="M30" s="42" t="n"/>
    </row>
    <row r="31">
      <c r="A31" s="27" t="n">
        <v>27</v>
      </c>
      <c r="B31" s="41" t="n"/>
      <c r="C31" s="27">
        <f>IF(B31="","",IF(MONTH(B31)&lt;=3,"Q1",IF(MONTH(B31)&lt;=6,"Q2",IF(MONTH(B31)&lt;=9,"Q3","Q4"))))</f>
        <v/>
      </c>
      <c r="D31" s="42" t="n"/>
      <c r="E31" s="43" t="n"/>
      <c r="F31" s="43" t="n"/>
      <c r="G31" s="44" t="n"/>
      <c r="H31" s="44" t="n"/>
      <c r="I31" s="44" t="n"/>
      <c r="J31" s="44" t="n"/>
      <c r="K31" s="29">
        <f>IF(N(G31)&gt;0,(N(H31)+N(I31)+N(J31))/G31,"")</f>
        <v/>
      </c>
      <c r="L31" s="27">
        <f>IF(K31="","",IF(K31&gt;=0.035,"Strong",IF(K31&gt;=0.0256,"On par","Below")))</f>
        <v/>
      </c>
      <c r="M31" s="42" t="n"/>
    </row>
    <row r="32">
      <c r="A32" s="27" t="n">
        <v>28</v>
      </c>
      <c r="B32" s="41" t="n"/>
      <c r="C32" s="27">
        <f>IF(B32="","",IF(MONTH(B32)&lt;=3,"Q1",IF(MONTH(B32)&lt;=6,"Q2",IF(MONTH(B32)&lt;=9,"Q3","Q4"))))</f>
        <v/>
      </c>
      <c r="D32" s="42" t="n"/>
      <c r="E32" s="43" t="n"/>
      <c r="F32" s="43" t="n"/>
      <c r="G32" s="44" t="n"/>
      <c r="H32" s="44" t="n"/>
      <c r="I32" s="44" t="n"/>
      <c r="J32" s="44" t="n"/>
      <c r="K32" s="29">
        <f>IF(N(G32)&gt;0,(N(H32)+N(I32)+N(J32))/G32,"")</f>
        <v/>
      </c>
      <c r="L32" s="27">
        <f>IF(K32="","",IF(K32&gt;=0.035,"Strong",IF(K32&gt;=0.0256,"On par","Below")))</f>
        <v/>
      </c>
      <c r="M32" s="42" t="n"/>
    </row>
    <row r="33">
      <c r="A33" s="27" t="n">
        <v>29</v>
      </c>
      <c r="B33" s="41" t="n"/>
      <c r="C33" s="27">
        <f>IF(B33="","",IF(MONTH(B33)&lt;=3,"Q1",IF(MONTH(B33)&lt;=6,"Q2",IF(MONTH(B33)&lt;=9,"Q3","Q4"))))</f>
        <v/>
      </c>
      <c r="D33" s="42" t="n"/>
      <c r="E33" s="43" t="n"/>
      <c r="F33" s="43" t="n"/>
      <c r="G33" s="44" t="n"/>
      <c r="H33" s="44" t="n"/>
      <c r="I33" s="44" t="n"/>
      <c r="J33" s="44" t="n"/>
      <c r="K33" s="29">
        <f>IF(N(G33)&gt;0,(N(H33)+N(I33)+N(J33))/G33,"")</f>
        <v/>
      </c>
      <c r="L33" s="27">
        <f>IF(K33="","",IF(K33&gt;=0.035,"Strong",IF(K33&gt;=0.0256,"On par","Below")))</f>
        <v/>
      </c>
      <c r="M33" s="42" t="n"/>
    </row>
    <row r="34">
      <c r="A34" s="27" t="n">
        <v>30</v>
      </c>
      <c r="B34" s="41" t="n"/>
      <c r="C34" s="27">
        <f>IF(B34="","",IF(MONTH(B34)&lt;=3,"Q1",IF(MONTH(B34)&lt;=6,"Q2",IF(MONTH(B34)&lt;=9,"Q3","Q4"))))</f>
        <v/>
      </c>
      <c r="D34" s="42" t="n"/>
      <c r="E34" s="43" t="n"/>
      <c r="F34" s="43" t="n"/>
      <c r="G34" s="44" t="n"/>
      <c r="H34" s="44" t="n"/>
      <c r="I34" s="44" t="n"/>
      <c r="J34" s="44" t="n"/>
      <c r="K34" s="29">
        <f>IF(N(G34)&gt;0,(N(H34)+N(I34)+N(J34))/G34,"")</f>
        <v/>
      </c>
      <c r="L34" s="27">
        <f>IF(K34="","",IF(K34&gt;=0.035,"Strong",IF(K34&gt;=0.0256,"On par","Below")))</f>
        <v/>
      </c>
      <c r="M34" s="42" t="n"/>
    </row>
    <row r="35">
      <c r="A35" s="27" t="n">
        <v>31</v>
      </c>
      <c r="B35" s="41" t="n"/>
      <c r="C35" s="27">
        <f>IF(B35="","",IF(MONTH(B35)&lt;=3,"Q1",IF(MONTH(B35)&lt;=6,"Q2",IF(MONTH(B35)&lt;=9,"Q3","Q4"))))</f>
        <v/>
      </c>
      <c r="D35" s="42" t="n"/>
      <c r="E35" s="43" t="n"/>
      <c r="F35" s="43" t="n"/>
      <c r="G35" s="44" t="n"/>
      <c r="H35" s="44" t="n"/>
      <c r="I35" s="44" t="n"/>
      <c r="J35" s="44" t="n"/>
      <c r="K35" s="29">
        <f>IF(N(G35)&gt;0,(N(H35)+N(I35)+N(J35))/G35,"")</f>
        <v/>
      </c>
      <c r="L35" s="27">
        <f>IF(K35="","",IF(K35&gt;=0.035,"Strong",IF(K35&gt;=0.0256,"On par","Below")))</f>
        <v/>
      </c>
      <c r="M35" s="42" t="n"/>
    </row>
    <row r="36">
      <c r="A36" s="27" t="n">
        <v>32</v>
      </c>
      <c r="B36" s="41" t="n"/>
      <c r="C36" s="27">
        <f>IF(B36="","",IF(MONTH(B36)&lt;=3,"Q1",IF(MONTH(B36)&lt;=6,"Q2",IF(MONTH(B36)&lt;=9,"Q3","Q4"))))</f>
        <v/>
      </c>
      <c r="D36" s="42" t="n"/>
      <c r="E36" s="43" t="n"/>
      <c r="F36" s="43" t="n"/>
      <c r="G36" s="44" t="n"/>
      <c r="H36" s="44" t="n"/>
      <c r="I36" s="44" t="n"/>
      <c r="J36" s="44" t="n"/>
      <c r="K36" s="29">
        <f>IF(N(G36)&gt;0,(N(H36)+N(I36)+N(J36))/G36,"")</f>
        <v/>
      </c>
      <c r="L36" s="27">
        <f>IF(K36="","",IF(K36&gt;=0.035,"Strong",IF(K36&gt;=0.0256,"On par","Below")))</f>
        <v/>
      </c>
      <c r="M36" s="42" t="n"/>
    </row>
    <row r="37">
      <c r="A37" s="27" t="n">
        <v>33</v>
      </c>
      <c r="B37" s="41" t="n"/>
      <c r="C37" s="27">
        <f>IF(B37="","",IF(MONTH(B37)&lt;=3,"Q1",IF(MONTH(B37)&lt;=6,"Q2",IF(MONTH(B37)&lt;=9,"Q3","Q4"))))</f>
        <v/>
      </c>
      <c r="D37" s="42" t="n"/>
      <c r="E37" s="43" t="n"/>
      <c r="F37" s="43" t="n"/>
      <c r="G37" s="44" t="n"/>
      <c r="H37" s="44" t="n"/>
      <c r="I37" s="44" t="n"/>
      <c r="J37" s="44" t="n"/>
      <c r="K37" s="29">
        <f>IF(N(G37)&gt;0,(N(H37)+N(I37)+N(J37))/G37,"")</f>
        <v/>
      </c>
      <c r="L37" s="27">
        <f>IF(K37="","",IF(K37&gt;=0.035,"Strong",IF(K37&gt;=0.0256,"On par","Below")))</f>
        <v/>
      </c>
      <c r="M37" s="42" t="n"/>
    </row>
    <row r="38">
      <c r="A38" s="27" t="n">
        <v>34</v>
      </c>
      <c r="B38" s="41" t="n"/>
      <c r="C38" s="27">
        <f>IF(B38="","",IF(MONTH(B38)&lt;=3,"Q1",IF(MONTH(B38)&lt;=6,"Q2",IF(MONTH(B38)&lt;=9,"Q3","Q4"))))</f>
        <v/>
      </c>
      <c r="D38" s="42" t="n"/>
      <c r="E38" s="43" t="n"/>
      <c r="F38" s="43" t="n"/>
      <c r="G38" s="44" t="n"/>
      <c r="H38" s="44" t="n"/>
      <c r="I38" s="44" t="n"/>
      <c r="J38" s="44" t="n"/>
      <c r="K38" s="29">
        <f>IF(N(G38)&gt;0,(N(H38)+N(I38)+N(J38))/G38,"")</f>
        <v/>
      </c>
      <c r="L38" s="27">
        <f>IF(K38="","",IF(K38&gt;=0.035,"Strong",IF(K38&gt;=0.0256,"On par","Below")))</f>
        <v/>
      </c>
      <c r="M38" s="42" t="n"/>
    </row>
    <row r="39">
      <c r="A39" s="27" t="n">
        <v>35</v>
      </c>
      <c r="B39" s="41" t="n"/>
      <c r="C39" s="27">
        <f>IF(B39="","",IF(MONTH(B39)&lt;=3,"Q1",IF(MONTH(B39)&lt;=6,"Q2",IF(MONTH(B39)&lt;=9,"Q3","Q4"))))</f>
        <v/>
      </c>
      <c r="D39" s="42" t="n"/>
      <c r="E39" s="43" t="n"/>
      <c r="F39" s="43" t="n"/>
      <c r="G39" s="44" t="n"/>
      <c r="H39" s="44" t="n"/>
      <c r="I39" s="44" t="n"/>
      <c r="J39" s="44" t="n"/>
      <c r="K39" s="29">
        <f>IF(N(G39)&gt;0,(N(H39)+N(I39)+N(J39))/G39,"")</f>
        <v/>
      </c>
      <c r="L39" s="27">
        <f>IF(K39="","",IF(K39&gt;=0.035,"Strong",IF(K39&gt;=0.0256,"On par","Below")))</f>
        <v/>
      </c>
      <c r="M39" s="42" t="n"/>
    </row>
    <row r="40">
      <c r="A40" s="27" t="n">
        <v>36</v>
      </c>
      <c r="B40" s="41" t="n"/>
      <c r="C40" s="27">
        <f>IF(B40="","",IF(MONTH(B40)&lt;=3,"Q1",IF(MONTH(B40)&lt;=6,"Q2",IF(MONTH(B40)&lt;=9,"Q3","Q4"))))</f>
        <v/>
      </c>
      <c r="D40" s="42" t="n"/>
      <c r="E40" s="43" t="n"/>
      <c r="F40" s="43" t="n"/>
      <c r="G40" s="44" t="n"/>
      <c r="H40" s="44" t="n"/>
      <c r="I40" s="44" t="n"/>
      <c r="J40" s="44" t="n"/>
      <c r="K40" s="29">
        <f>IF(N(G40)&gt;0,(N(H40)+N(I40)+N(J40))/G40,"")</f>
        <v/>
      </c>
      <c r="L40" s="27">
        <f>IF(K40="","",IF(K40&gt;=0.035,"Strong",IF(K40&gt;=0.0256,"On par","Below")))</f>
        <v/>
      </c>
      <c r="M40" s="42" t="n"/>
    </row>
    <row r="42">
      <c r="A42" s="45" t="inlineStr">
        <is>
          <t>Rating rule: Strong = 3.5%+ engagement rate, On par = 2.56% to 3.5% (AuthoredUp median for small accounts), Below = under 2.56%. Engagement = reactions + comments + reposts.</t>
        </is>
      </c>
    </row>
  </sheetData>
  <mergeCells count="3">
    <mergeCell ref="A2:M2"/>
    <mergeCell ref="A1:M1"/>
    <mergeCell ref="A42:M42"/>
  </mergeCells>
  <conditionalFormatting sqref="L5:L40">
    <cfRule type="cellIs" priority="1" operator="equal" dxfId="2">
      <formula>"Strong"</formula>
    </cfRule>
    <cfRule type="cellIs" priority="2" operator="equal" dxfId="1">
      <formula>"On par"</formula>
    </cfRule>
    <cfRule type="cellIs" priority="3" operator="equal" dxfId="0">
      <formula>"Below"</formula>
    </cfRule>
  </conditionalFormatting>
  <dataValidations count="2">
    <dataValidation sqref="E5 E6 E7 E8 E9 E10 E11 E12 E13 E14 E15 E16 E17 E18 E19 E20 E21 E22 E23 E24 E25 E26 E27 E28 E29 E30 E31 E32 E33 E34 E35 E36 E37 E38 E39 E40" showDropDown="0" showInputMessage="0" showErrorMessage="0" allowBlank="1" type="list">
      <formula1>"Text,Image,Carousel,Video,Poll,Article,Newsletter,Job update"</formula1>
    </dataValidation>
    <dataValidation sqref="F5 F6 F7 F8 F9 F10 F11 F12 F13 F14 F15 F16 F17 F18 F19 F20 F21 F22 F23 F24 F25 F26 F27 F28 F29 F30 F31 F32 F33 F34 F35 F36 F37 F38 F39 F40" showDropDown="0" showInputMessage="0" showErrorMessage="0" allowBlank="1" type="list">
      <formula1>"Claude how-to,Sales ops / CRM insight,Public sector,Client story,Personal milestone,Opinion,Other"</formula1>
    </dataValidation>
  </dataValidations>
  <pageMargins left="0.75" right="0.75" top="1" bottom="1" header="0.5" footer="0.5"/>
  <pageSetup orientation="landscape" fitToHeight="0" fitToWidth="1"/>
</worksheet>
</file>

<file path=xl/worksheets/sheet5.xml><?xml version="1.0" encoding="utf-8"?>
<worksheet xmlns="http://schemas.openxmlformats.org/spreadsheetml/2006/main">
  <sheetPr>
    <tabColor rgb="002E75B6"/>
    <outlinePr summaryBelow="1" summaryRight="1"/>
    <pageSetUpPr fitToPage="1"/>
  </sheetPr>
  <dimension ref="A1:E15"/>
  <sheetViews>
    <sheetView showGridLines="0" workbookViewId="0">
      <selection activeCell="A1" sqref="A1"/>
    </sheetView>
  </sheetViews>
  <sheetFormatPr baseColWidth="8" defaultRowHeight="15"/>
  <cols>
    <col width="20" customWidth="1" min="1" max="1"/>
    <col width="34" customWidth="1" min="2" max="2"/>
    <col width="18" customWidth="1" min="3" max="3"/>
    <col width="50" customWidth="1" min="4" max="4"/>
    <col width="18" customWidth="1" min="5" max="5"/>
  </cols>
  <sheetData>
    <row r="1" ht="32" customHeight="1">
      <c r="A1" s="1" t="inlineStr">
        <is>
          <t>Audience: who saw your posts</t>
        </is>
      </c>
    </row>
    <row r="2" ht="30" customHeight="1">
      <c r="A2" s="2" t="inlineStr">
        <is>
          <t>From the 'top viewers' panel in LinkedIn's weekly recap emails (weeks of 2 Mar, 23 Mar and 13 Apr). LinkedIn shows the top segment only, not percentages.</t>
        </is>
      </c>
    </row>
    <row r="4" ht="30" customHeight="1">
      <c r="A4" s="5" t="inlineStr">
        <is>
          <t>Dimension</t>
        </is>
      </c>
      <c r="B4" s="5" t="inlineStr">
        <is>
          <t>Top segment</t>
        </is>
      </c>
      <c r="C4" s="5" t="inlineStr">
        <is>
          <t>Weeks it topped</t>
        </is>
      </c>
      <c r="D4" s="5" t="inlineStr">
        <is>
          <t>What it means for you</t>
        </is>
      </c>
      <c r="E4" s="5" t="inlineStr">
        <is>
          <t>Fit with Claude brand</t>
        </is>
      </c>
    </row>
    <row r="5" ht="45" customHeight="1">
      <c r="A5" s="24" t="inlineStr">
        <is>
          <t>Industry</t>
        </is>
      </c>
      <c r="B5" s="7" t="inlineStr">
        <is>
          <t>IT Services and IT Consulting</t>
        </is>
      </c>
      <c r="C5" s="27" t="inlineStr">
        <is>
          <t>3 of 3</t>
        </is>
      </c>
      <c r="D5" s="7" t="inlineStr">
        <is>
          <t>Your reach sits with IT services peers, which is your past network. Good for credibility, weaker for buyers in sales ops and government.</t>
        </is>
      </c>
      <c r="E5" s="27" t="inlineStr">
        <is>
          <t>Partial</t>
        </is>
      </c>
    </row>
    <row r="6" ht="45" customHeight="1">
      <c r="A6" s="24" t="inlineStr">
        <is>
          <t>Seniority</t>
        </is>
      </c>
      <c r="B6" s="7" t="inlineStr">
        <is>
          <t>Senior</t>
        </is>
      </c>
      <c r="C6" s="27" t="inlineStr">
        <is>
          <t>3 of 3</t>
        </is>
      </c>
      <c r="D6" s="7" t="inlineStr">
        <is>
          <t>Senior people already read you. Write for decision makers: outcomes, time saved, risk reduced.</t>
        </is>
      </c>
      <c r="E6" s="27" t="inlineStr">
        <is>
          <t>Strong</t>
        </is>
      </c>
    </row>
    <row r="7" ht="45" customHeight="1">
      <c r="A7" s="24" t="inlineStr">
        <is>
          <t>Company size</t>
        </is>
      </c>
      <c r="B7" s="7" t="inlineStr">
        <is>
          <t>501 to 1,000 employees</t>
        </is>
      </c>
      <c r="C7" s="27" t="inlineStr">
        <is>
          <t>2 of 3</t>
        </is>
      </c>
      <c r="D7" s="7" t="inlineStr">
        <is>
          <t>Mid-size firms are a good fit for Claude workflow consulting: big enough to have CRM mess, small enough to move fast.</t>
        </is>
      </c>
      <c r="E7" s="27" t="inlineStr">
        <is>
          <t>Strong</t>
        </is>
      </c>
    </row>
    <row r="8" ht="45" customHeight="1">
      <c r="A8" s="24" t="inlineStr">
        <is>
          <t>Location</t>
        </is>
      </c>
      <c r="B8" s="7" t="inlineStr">
        <is>
          <t>Pune / Pimpri-Chinchwad Area</t>
        </is>
      </c>
      <c r="C8" s="27" t="inlineStr">
        <is>
          <t>1 of 3</t>
        </is>
      </c>
      <c r="D8" s="7" t="inlineStr">
        <is>
          <t>Your reach is local. Bramasol and most Claude buyers are US-based, so test posting in US morning hours too.</t>
        </is>
      </c>
      <c r="E8" s="27" t="inlineStr">
        <is>
          <t>Weak</t>
        </is>
      </c>
    </row>
    <row r="9" ht="45" customHeight="1">
      <c r="A9" s="24" t="inlineStr">
        <is>
          <t>Missing</t>
        </is>
      </c>
      <c r="B9" s="7" t="inlineStr">
        <is>
          <t>Sales ops, RevOps, CRM admins, public sector</t>
        </is>
      </c>
      <c r="C9" s="27" t="inlineStr">
        <is>
          <t>0 of 3</t>
        </is>
      </c>
      <c r="D9" s="7" t="inlineStr">
        <is>
          <t>The people your brand is for did not show up in any recap. Topic-led content and commenting on their posts is how you reach them.</t>
        </is>
      </c>
      <c r="E9" s="27" t="inlineStr">
        <is>
          <t>Gap</t>
        </is>
      </c>
    </row>
    <row r="11" ht="22" customHeight="1">
      <c r="A11" s="3" t="inlineStr">
        <is>
          <t>PROFILE SIGNALS FOUND</t>
        </is>
      </c>
    </row>
    <row r="12" ht="30" customHeight="1">
      <c r="A12" s="5" t="inlineStr">
        <is>
          <t>Signal</t>
        </is>
      </c>
      <c r="B12" s="5" t="inlineStr">
        <is>
          <t>What we found</t>
        </is>
      </c>
      <c r="C12" s="5" t="inlineStr"/>
      <c r="D12" s="5" t="inlineStr">
        <is>
          <t>Implication</t>
        </is>
      </c>
      <c r="E12" s="5" t="inlineStr"/>
    </row>
    <row r="13" ht="45" customHeight="1">
      <c r="A13" s="24" t="inlineStr">
        <is>
          <t>Headline (Apr to Jul)</t>
        </is>
      </c>
      <c r="B13" s="7" t="inlineStr">
        <is>
          <t>Sales Ops &amp; Data Consultant | CRM Accuracy | Pipeline Visibility | Decision-Ready Data</t>
        </is>
      </c>
      <c r="C13" s="10" t="n"/>
      <c r="D13" s="7" t="inlineStr">
        <is>
          <t>Clear sales ops positioning. No mention of Claude or AI, so the algorithm and visitors cannot link you to that topic.</t>
        </is>
      </c>
      <c r="E13" s="10" t="n"/>
    </row>
    <row r="14" ht="45" customHeight="1">
      <c r="A14" s="24" t="inlineStr">
        <is>
          <t>Display name history</t>
        </is>
      </c>
      <c r="B14" s="7" t="inlineStr">
        <is>
          <t>Shrikant Ahire &gt; 'SK' &gt; 'S. K.' &gt; 'Shreekant Aahire' &gt; 'Shrikant V Ahire'</t>
        </is>
      </c>
      <c r="C14" s="10" t="n"/>
      <c r="D14" s="7" t="inlineStr">
        <is>
          <t>Five names in four months. This hurts name search, recognition and consistency. Pick one and keep it.</t>
        </is>
      </c>
      <c r="E14" s="10" t="n"/>
    </row>
    <row r="15" ht="45" customHeight="1">
      <c r="A15" s="24" t="inlineStr">
        <is>
          <t>Comments on others' posts</t>
        </is>
      </c>
      <c r="B15" s="7" t="inlineStr">
        <is>
          <t>At least 2 comments drew replies (25 Apr, 18 Jun)</t>
        </is>
      </c>
      <c r="C15" s="10" t="n"/>
      <c r="D15" s="7" t="inlineStr">
        <is>
          <t>You comment occasionally. Research says daily comments are a top reach and lead source.</t>
        </is>
      </c>
      <c r="E15" s="10" t="n"/>
    </row>
  </sheetData>
  <mergeCells count="9">
    <mergeCell ref="B13:C13"/>
    <mergeCell ref="B15:C15"/>
    <mergeCell ref="A2:E2"/>
    <mergeCell ref="D15:E15"/>
    <mergeCell ref="D13:E13"/>
    <mergeCell ref="A11:E11"/>
    <mergeCell ref="D14:E14"/>
    <mergeCell ref="A1:E1"/>
    <mergeCell ref="B14:C14"/>
  </mergeCells>
  <conditionalFormatting sqref="E5:E9">
    <cfRule type="cellIs" priority="1" operator="equal" dxfId="2">
      <formula>"Strong"</formula>
    </cfRule>
    <cfRule type="cellIs" priority="2" operator="equal" dxfId="1">
      <formula>"Partial"</formula>
    </cfRule>
    <cfRule type="cellIs" priority="3" operator="equal" dxfId="1">
      <formula>"Weak"</formula>
    </cfRule>
    <cfRule type="cellIs" priority="4" operator="equal" dxfId="0">
      <formula>"Gap"</formula>
    </cfRule>
  </conditionalFormatting>
  <pageMargins left="0.75" right="0.75" top="1" bottom="1" header="0.5" footer="0.5"/>
  <pageSetup orientation="landscape" fitToHeight="0" fitToWidth="1"/>
</worksheet>
</file>

<file path=xl/worksheets/sheet6.xml><?xml version="1.0" encoding="utf-8"?>
<worksheet xmlns="http://schemas.openxmlformats.org/spreadsheetml/2006/main">
  <sheetPr>
    <tabColor rgb="00C00000"/>
    <outlinePr summaryBelow="1" summaryRight="1"/>
    <pageSetUpPr fitToPage="1"/>
  </sheetPr>
  <dimension ref="A1:F1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11" customWidth="1" min="2" max="2"/>
    <col width="30" customWidth="1" min="3" max="3"/>
    <col width="52" customWidth="1" min="4" max="4"/>
    <col width="46" customWidth="1" min="5" max="5"/>
    <col width="22" customWidth="1" min="6" max="6"/>
  </cols>
  <sheetData>
    <row r="1" ht="32" customHeight="1">
      <c r="A1" s="1" t="inlineStr">
        <is>
          <t>Diagnosis: what your Q1 and Q2 data says</t>
        </is>
      </c>
    </row>
    <row r="2" ht="30" customHeight="1">
      <c r="A2" s="2" t="inlineStr">
        <is>
          <t>Ten findings from your own numbers, sorted by priority. Red = fix first. Amber = improve. Green = keep doing.</t>
        </is>
      </c>
    </row>
    <row r="4" ht="30" customHeight="1">
      <c r="A4" s="5" t="inlineStr">
        <is>
          <t>#</t>
        </is>
      </c>
      <c r="B4" s="5" t="inlineStr">
        <is>
          <t>Rating</t>
        </is>
      </c>
      <c r="C4" s="5" t="inlineStr">
        <is>
          <t>Finding</t>
        </is>
      </c>
      <c r="D4" s="5" t="inlineStr">
        <is>
          <t>Evidence</t>
        </is>
      </c>
      <c r="E4" s="5" t="inlineStr">
        <is>
          <t>So what / fix</t>
        </is>
      </c>
      <c r="F4" s="5" t="inlineStr">
        <is>
          <t>Linked action</t>
        </is>
      </c>
    </row>
    <row r="5" ht="62" customHeight="1">
      <c r="A5" s="27" t="n">
        <v>1</v>
      </c>
      <c r="B5" s="46" t="inlineStr">
        <is>
          <t>Red</t>
        </is>
      </c>
      <c r="C5" s="24" t="inlineStr">
        <is>
          <t>Posting volume was close to zero</t>
        </is>
      </c>
      <c r="D5" s="7" t="inlineStr">
        <is>
          <t>One original post identified in 26 weeks. No recap emails in Jan, Feb, May or most of June, which LinkedIn only sends when you have impressions.</t>
        </is>
      </c>
      <c r="E5" s="7" t="inlineStr">
        <is>
          <t>Volume is the biggest lever you have. Buffer found 2 to 5 posts a week adds about 1,182 impressions per post. Move to 3 posts a week.</t>
        </is>
      </c>
      <c r="F5" s="27" t="inlineStr">
        <is>
          <t>A1, A2</t>
        </is>
      </c>
    </row>
    <row r="6" ht="62" customHeight="1">
      <c r="A6" s="27" t="n">
        <v>2</v>
      </c>
      <c r="B6" s="46" t="inlineStr">
        <is>
          <t>Red</t>
        </is>
      </c>
      <c r="C6" s="24" t="inlineStr">
        <is>
          <t>No Claude or AI content yet</t>
        </is>
      </c>
      <c r="D6" s="7" t="inlineStr">
        <is>
          <t>The only identified post was a job update. Headline mentions sales ops and data, not Claude.</t>
        </is>
      </c>
      <c r="E6" s="7" t="inlineStr">
        <is>
          <t>Your brand goal has no content behind it. Start a named weekly Claude series and update the headline.</t>
        </is>
      </c>
      <c r="F6" s="27" t="inlineStr">
        <is>
          <t>A3, A10</t>
        </is>
      </c>
    </row>
    <row r="7" ht="62" customHeight="1">
      <c r="A7" s="27" t="n">
        <v>3</v>
      </c>
      <c r="B7" s="46" t="inlineStr">
        <is>
          <t>Red</t>
        </is>
      </c>
      <c r="C7" s="24" t="inlineStr">
        <is>
          <t>Reach collapsed after the one post</t>
        </is>
      </c>
      <c r="D7" s="7" t="inlineStr">
        <is>
          <t>Weekly impressions went 794, then 150, then 23, then about 3, then 73, then 22.</t>
        </is>
      </c>
      <c r="E7" s="7" t="inlineStr">
        <is>
          <t>Each post gets most of its reach in the first days. Without the next post, reach drops to almost nothing. Consistency matters more than any single hit.</t>
        </is>
      </c>
      <c r="F7" s="27" t="inlineStr">
        <is>
          <t>A1, A13</t>
        </is>
      </c>
    </row>
    <row r="8" ht="62" customHeight="1">
      <c r="A8" s="27" t="n">
        <v>4</v>
      </c>
      <c r="B8" s="46" t="inlineStr">
        <is>
          <t>Red</t>
        </is>
      </c>
      <c r="C8" s="24" t="inlineStr">
        <is>
          <t>No analytics are being kept</t>
        </is>
      </c>
      <c r="D8" s="7" t="inlineStr">
        <is>
          <t>No LinkedIn export in Drive. Only 5 of 28 weeks have any numbers.</t>
        </is>
      </c>
      <c r="E8" s="7" t="inlineStr">
        <is>
          <t>You cannot improve what you cannot see. Export analytics on the first Monday of each month and log every post in Post Log.</t>
        </is>
      </c>
      <c r="F8" s="27" t="inlineStr">
        <is>
          <t>A16</t>
        </is>
      </c>
    </row>
    <row r="9" ht="62" customHeight="1">
      <c r="A9" s="27" t="n">
        <v>5</v>
      </c>
      <c r="B9" s="46" t="inlineStr">
        <is>
          <t>Amber</t>
        </is>
      </c>
      <c r="C9" s="24" t="inlineStr">
        <is>
          <t>Name changed five times in four months</t>
        </is>
      </c>
      <c r="D9" s="7" t="inlineStr">
        <is>
          <t>Shrikant Ahire, SK, S. K., Shreekant Aahire, Shrikant V Ahire (security emails, Apr to Jun).</t>
        </is>
      </c>
      <c r="E9" s="7" t="inlineStr">
        <is>
          <t>Consistent naming helps search, recognition and the algorithm's topic matching. Choose one name and keep it.</t>
        </is>
      </c>
      <c r="F9" s="27" t="inlineStr">
        <is>
          <t>A10</t>
        </is>
      </c>
    </row>
    <row r="10" ht="62" customHeight="1">
      <c r="A10" s="27" t="n">
        <v>6</v>
      </c>
      <c r="B10" s="46" t="inlineStr">
        <is>
          <t>Amber</t>
        </is>
      </c>
      <c r="C10" s="24" t="inlineStr">
        <is>
          <t>Audience is your old network, not your buyers</t>
        </is>
      </c>
      <c r="D10" s="7" t="inlineStr">
        <is>
          <t>Top viewers: IT Services, Senior, 501 to 1,000 staff, Pune. No sales ops, RevOps or public sector segments appear.</t>
        </is>
      </c>
      <c r="E10" s="7" t="inlineStr">
        <is>
          <t>Topic-led posts plus daily comments on sales ops and govtech leaders' posts will pull in the right audience.</t>
        </is>
      </c>
      <c r="F10" s="27" t="inlineStr">
        <is>
          <t>A8, A9</t>
        </is>
      </c>
    </row>
    <row r="11" ht="62" customHeight="1">
      <c r="A11" s="27" t="n">
        <v>7</v>
      </c>
      <c r="B11" s="46" t="inlineStr">
        <is>
          <t>Amber</t>
        </is>
      </c>
      <c r="C11" s="24" t="inlineStr">
        <is>
          <t>Commenting is occasional</t>
        </is>
      </c>
      <c r="D11" s="7" t="inlineStr">
        <is>
          <t>Two comments on others' posts drew replies (25 Apr, 18 Jun).</t>
        </is>
      </c>
      <c r="E11" s="7" t="inlineStr">
        <is>
          <t>Comments of 15+ words carry 2 to 2.5x the weight of short ones. Do 5 thoughtful comments a day.</t>
        </is>
      </c>
      <c r="F11" s="27" t="inlineStr">
        <is>
          <t>A8</t>
        </is>
      </c>
    </row>
    <row r="12" ht="62" customHeight="1">
      <c r="A12" s="27" t="n">
        <v>8</v>
      </c>
      <c r="B12" s="46" t="inlineStr">
        <is>
          <t>Green</t>
        </is>
      </c>
      <c r="C12" s="24" t="inlineStr">
        <is>
          <t>Your network rewards real news</t>
        </is>
      </c>
      <c r="D12" s="7" t="inlineStr">
        <is>
          <t>Job post week: 794 impressions, 23 reactions, 25 comments, 6.0% engagement. Benchmark median is 2.56%.</t>
        </is>
      </c>
      <c r="E12" s="7" t="inlineStr">
        <is>
          <t>People engage when you share something real. Use personal milestones and client results once a month.</t>
        </is>
      </c>
      <c r="F12" s="27" t="inlineStr">
        <is>
          <t>A14</t>
        </is>
      </c>
    </row>
    <row r="13" ht="62" customHeight="1">
      <c r="A13" s="27" t="n">
        <v>9</v>
      </c>
      <c r="B13" s="46" t="inlineStr">
        <is>
          <t>Green</t>
        </is>
      </c>
      <c r="C13" s="24" t="inlineStr">
        <is>
          <t>Comments outnumber reactions</t>
        </is>
      </c>
      <c r="D13" s="7" t="inlineStr">
        <is>
          <t>25 comments vs 23 reactions in the peak week; 20 comments on the job post.</t>
        </is>
      </c>
      <c r="E13" s="7" t="inlineStr">
        <is>
          <t>Comments are the signal LinkedIn values most. Ending posts with a specific question builds on this.</t>
        </is>
      </c>
      <c r="F13" s="27" t="inlineStr">
        <is>
          <t>A7</t>
        </is>
      </c>
    </row>
    <row r="14" ht="62" customHeight="1">
      <c r="A14" s="27" t="n">
        <v>10</v>
      </c>
      <c r="B14" s="46" t="inlineStr">
        <is>
          <t>Green</t>
        </is>
      </c>
      <c r="C14" s="24" t="inlineStr">
        <is>
          <t>Senior, mid-size audience</t>
        </is>
      </c>
      <c r="D14" s="7" t="inlineStr">
        <is>
          <t>Senior seniority and 501 to 1,000 employee firms top the recaps.</t>
        </is>
      </c>
      <c r="E14" s="7" t="inlineStr">
        <is>
          <t>This is a good buyer profile for Claude workflow consulting. Write for decision makers.</t>
        </is>
      </c>
      <c r="F14" s="27" t="inlineStr">
        <is>
          <t>A3</t>
        </is>
      </c>
    </row>
  </sheetData>
  <mergeCells count="2">
    <mergeCell ref="A2:F2"/>
    <mergeCell ref="A1:F1"/>
  </mergeCells>
  <conditionalFormatting sqref="B5:B14">
    <cfRule type="cellIs" priority="1" operator="equal" dxfId="0">
      <formula>"Red"</formula>
    </cfRule>
    <cfRule type="cellIs" priority="2" operator="equal" dxfId="1">
      <formula>"Amber"</formula>
    </cfRule>
    <cfRule type="cellIs" priority="3" operator="equal" dxfId="2">
      <formula>"Green"</formula>
    </cfRule>
  </conditionalFormatting>
  <pageMargins left="0.75" right="0.75" top="1" bottom="1" header="0.5" footer="0.5"/>
  <pageSetup orientation="landscape" fitToHeight="0" fitToWidth="1"/>
</worksheet>
</file>

<file path=xl/worksheets/sheet7.xml><?xml version="1.0" encoding="utf-8"?>
<worksheet xmlns="http://schemas.openxmlformats.org/spreadsheetml/2006/main">
  <sheetPr>
    <tabColor rgb="000F766E"/>
    <outlinePr summaryBelow="1" summaryRight="1"/>
    <pageSetUpPr fitToPage="1"/>
  </sheetPr>
  <dimension ref="A1:H59"/>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15" customWidth="1" min="2" max="2"/>
    <col width="55" customWidth="1" min="3" max="3"/>
    <col width="50" customWidth="1" min="4" max="4"/>
    <col width="28" customWidth="1" min="5" max="5"/>
    <col width="9" customWidth="1" min="6" max="6"/>
    <col width="11" customWidth="1" min="7" max="7"/>
    <col width="12" customWidth="1" min="8" max="8"/>
  </cols>
  <sheetData>
    <row r="1" ht="32" customHeight="1">
      <c r="A1" s="1" t="inlineStr">
        <is>
          <t>Research Insights: what the 2025 to 2026 data says</t>
        </is>
      </c>
    </row>
    <row r="2" ht="30" customHeight="1">
      <c r="A2" s="2" t="inlineStr">
        <is>
          <t>53 findings from named studies (van der Blom, AuthoredUp, Metricool, Socialinsider, Buffer, LinkedIn, Pangram Labs and others). Filter by Area or Confidence with the arrows in the header row.</t>
        </is>
      </c>
    </row>
    <row r="4" ht="30" customHeight="1">
      <c r="A4" s="5" t="inlineStr">
        <is>
          <t>#</t>
        </is>
      </c>
      <c r="B4" s="5" t="inlineStr">
        <is>
          <t>Area</t>
        </is>
      </c>
      <c r="C4" s="5" t="inlineStr">
        <is>
          <t>Finding</t>
        </is>
      </c>
      <c r="D4" s="5" t="inlineStr">
        <is>
          <t>What it means for you</t>
        </is>
      </c>
      <c r="E4" s="5" t="inlineStr">
        <is>
          <t>Source</t>
        </is>
      </c>
      <c r="F4" s="5" t="inlineStr">
        <is>
          <t>Date</t>
        </is>
      </c>
      <c r="G4" s="5" t="inlineStr">
        <is>
          <t>Confidence</t>
        </is>
      </c>
      <c r="H4" s="5" t="inlineStr">
        <is>
          <t>Link</t>
        </is>
      </c>
    </row>
    <row r="5" ht="75" customHeight="1">
      <c r="A5" s="27" t="n">
        <v>1</v>
      </c>
      <c r="B5" s="32" t="inlineStr">
        <is>
          <t>Algorithm</t>
        </is>
      </c>
      <c r="C5" s="7" t="inlineStr">
        <is>
          <t>Richard van der Blom's October 2025 Algorithm InSights report (about 1.8 million posts) found average reach fell about 47% between February and September 2025, with engagement down about 39% and follower growth down about 42%.</t>
        </is>
      </c>
      <c r="D5" s="7" t="inlineStr">
        <is>
          <t>Judge Q1/Q2 2026 results against a shrinking baseline, so flat impressions year on year may actually mean you outperformed the platform.</t>
        </is>
      </c>
      <c r="E5" s="7" t="inlineStr">
        <is>
          <t>Richard van der Blom, Algorithm InSights Report Oct 2025 (via Siecle Digital)</t>
        </is>
      </c>
      <c r="F5" s="27" t="inlineStr">
        <is>
          <t>2025-10</t>
        </is>
      </c>
      <c r="G5" s="27" t="inlineStr">
        <is>
          <t>High</t>
        </is>
      </c>
      <c r="H5" s="47" t="inlineStr">
        <is>
          <t>Open</t>
        </is>
      </c>
    </row>
    <row r="6" ht="75" customHeight="1">
      <c r="A6" s="27" t="n">
        <v>2</v>
      </c>
      <c r="B6" s="32" t="inlineStr">
        <is>
          <t>Algorithm</t>
        </is>
      </c>
      <c r="C6" s="7" t="inlineStr">
        <is>
          <t>LinkedIn's research team published 360Brew, a 150-billion-parameter decoder-only model that handles ranking and recommendation across LinkedIn surfaces using natural-language descriptions of members and content.</t>
        </is>
      </c>
      <c r="D6" s="7" t="inlineStr">
        <is>
          <t>Profile text, headline and post wording are now read as language, so you should describe your niche (Claude for CRM, sales ops and public sector) in the same plain words every time.</t>
        </is>
      </c>
      <c r="E6" s="7" t="inlineStr">
        <is>
          <t>360Brew paper, LinkedIn (arXiv 2501.16450)</t>
        </is>
      </c>
      <c r="F6" s="27" t="inlineStr">
        <is>
          <t>2025-01</t>
        </is>
      </c>
      <c r="G6" s="27" t="inlineStr">
        <is>
          <t>High</t>
        </is>
      </c>
      <c r="H6" s="47" t="inlineStr">
        <is>
          <t>Open</t>
        </is>
      </c>
    </row>
    <row r="7" ht="75" customHeight="1">
      <c r="A7" s="27" t="n">
        <v>3</v>
      </c>
      <c r="B7" s="32" t="inlineStr">
        <is>
          <t>Algorithm</t>
        </is>
      </c>
      <c r="C7" s="7" t="inlineStr">
        <is>
          <t>In March 2026 LinkedIn announced an LLM-based retrieval and Generative Recommender ranking system that matches posts to viewers by topic embeddings and reads over 1,000 past interactions per member, increasing distribution beyond a creator's own network.</t>
        </is>
      </c>
      <c r="D7" s="7" t="inlineStr">
        <is>
          <t>Staying on two or three tightly related topics should help the system learn who your posts are for and show them to non-connections in sales ops and government tech.</t>
        </is>
      </c>
      <c r="E7" s="7" t="inlineStr">
        <is>
          <t>Search Engine Land coverage of LinkedIn Engineering announcement</t>
        </is>
      </c>
      <c r="F7" s="27" t="inlineStr">
        <is>
          <t>2026-03</t>
        </is>
      </c>
      <c r="G7" s="27" t="inlineStr">
        <is>
          <t>High</t>
        </is>
      </c>
      <c r="H7" s="47" t="inlineStr">
        <is>
          <t>Open</t>
        </is>
      </c>
    </row>
    <row r="8" ht="75" customHeight="1">
      <c r="A8" s="27" t="n">
        <v>4</v>
      </c>
      <c r="B8" s="32" t="inlineStr">
        <is>
          <t>Algorithm</t>
        </is>
      </c>
      <c r="C8" s="7" t="inlineStr">
        <is>
          <t>LinkedIn engineering leadership (Tim Jurka) has said the feed is designed for relevance rather than virality, aiming to get the right knowledge to the right people rather than the largest audience.</t>
        </is>
      </c>
      <c r="D8" s="7" t="inlineStr">
        <is>
          <t>You should measure success by who engages (buyers, RevOps leaders, public sector managers) rather than raw impressions.</t>
        </is>
      </c>
      <c r="E8" s="7" t="inlineStr">
        <is>
          <t>Herdl summary of LinkedIn statements</t>
        </is>
      </c>
      <c r="F8" s="27" t="inlineStr">
        <is>
          <t>2026-03</t>
        </is>
      </c>
      <c r="G8" s="27" t="inlineStr">
        <is>
          <t>Medium</t>
        </is>
      </c>
      <c r="H8" s="47" t="inlineStr">
        <is>
          <t>Open</t>
        </is>
      </c>
    </row>
    <row r="9" ht="75" customHeight="1">
      <c r="A9" s="27" t="n">
        <v>5</v>
      </c>
      <c r="B9" s="32" t="inlineStr">
        <is>
          <t>Algorithm</t>
        </is>
      </c>
      <c r="C9" s="7" t="inlineStr">
        <is>
          <t>Van der Blom's 2025 research reports that posts holding 61+ seconds of average dwell time reached about 15.6% engagement versus about 1.2% for posts skimmed in under 3 seconds.</t>
        </is>
      </c>
      <c r="D9" s="7" t="inlineStr">
        <is>
          <t>Write posts that reward reading to the end, such as step-by-step Claude workflows with a concrete result, rather than short opinion one-liners.</t>
        </is>
      </c>
      <c r="E9" s="7" t="inlineStr">
        <is>
          <t>Van der Blom 2025 data as reported by Contentin</t>
        </is>
      </c>
      <c r="F9" s="27" t="inlineStr">
        <is>
          <t>2025-12</t>
        </is>
      </c>
      <c r="G9" s="27" t="inlineStr">
        <is>
          <t>Medium</t>
        </is>
      </c>
      <c r="H9" s="47" t="inlineStr">
        <is>
          <t>Open</t>
        </is>
      </c>
    </row>
    <row r="10" ht="75" customHeight="1">
      <c r="A10" s="27" t="n">
        <v>6</v>
      </c>
      <c r="B10" s="32" t="inlineStr">
        <is>
          <t>Algorithm</t>
        </is>
      </c>
      <c r="C10" s="7" t="inlineStr">
        <is>
          <t>Van der Blom's 2025 report is cited as finding that one save drives roughly 5 times the reach of a like and about 2 times that of a comment, and LinkedIn added saves and sends to post analytics in late 2025.</t>
        </is>
      </c>
      <c r="D10" s="7" t="inlineStr">
        <is>
          <t>Make reference-style content people want to keep (prompt templates, checklists, CRM audit steps) and track saves and sends as your main quality metric.</t>
        </is>
      </c>
      <c r="E10" s="7" t="inlineStr">
        <is>
          <t>Melanie Goodman summary of Van der Blom 2025; LinkedIn analytics update</t>
        </is>
      </c>
      <c r="F10" s="27" t="inlineStr">
        <is>
          <t>2025-11</t>
        </is>
      </c>
      <c r="G10" s="27" t="inlineStr">
        <is>
          <t>Medium</t>
        </is>
      </c>
      <c r="H10" s="47" t="inlineStr">
        <is>
          <t>Open</t>
        </is>
      </c>
    </row>
    <row r="11" ht="75" customHeight="1">
      <c r="A11" s="27" t="n">
        <v>7</v>
      </c>
      <c r="B11" s="32" t="inlineStr">
        <is>
          <t>Algorithm</t>
        </is>
      </c>
      <c r="C11" s="7" t="inlineStr">
        <is>
          <t>Comments of 15 or more words are reported to carry roughly 2 to 2.5 times the weight of short comments, and generic comments like 'Great post' are treated as low value.</t>
        </is>
      </c>
      <c r="D11" s="7" t="inlineStr">
        <is>
          <t>End posts with a specific question that invites a real answer, and leave substantive comments yourself rather than short praise.</t>
        </is>
      </c>
      <c r="E11" s="7" t="inlineStr">
        <is>
          <t>Van der Blom 2025 as summarised by Contentin and Melanie Goodman</t>
        </is>
      </c>
      <c r="F11" s="27" t="inlineStr">
        <is>
          <t>2025-11</t>
        </is>
      </c>
      <c r="G11" s="27" t="inlineStr">
        <is>
          <t>Medium</t>
        </is>
      </c>
      <c r="H11" s="47" t="inlineStr">
        <is>
          <t>Open</t>
        </is>
      </c>
    </row>
    <row r="12" ht="75" customHeight="1">
      <c r="A12" s="27" t="n">
        <v>8</v>
      </c>
      <c r="B12" s="32" t="inlineStr">
        <is>
          <t>Algorithm</t>
        </is>
      </c>
      <c r="C12" s="7" t="inlineStr">
        <is>
          <t>Practitioner summaries of van der Blom's work say about 70% of a post's reach is decided in the first 60 to 90 minutes and that author replies in the first 30 to 60 minutes lift comments and reach.</t>
        </is>
      </c>
      <c r="D12" s="7" t="inlineStr">
        <is>
          <t>Block 45 to 60 minutes after each post to reply to every comment with a full sentence.</t>
        </is>
      </c>
      <c r="E12" s="7" t="inlineStr">
        <is>
          <t>Contentin / Van der Blom summary; Melanie Goodman</t>
        </is>
      </c>
      <c r="F12" s="27" t="inlineStr">
        <is>
          <t>2025-12</t>
        </is>
      </c>
      <c r="G12" s="27" t="inlineStr">
        <is>
          <t>Medium</t>
        </is>
      </c>
      <c r="H12" s="47" t="inlineStr">
        <is>
          <t>Open</t>
        </is>
      </c>
    </row>
    <row r="13" ht="75" customHeight="1">
      <c r="A13" s="27" t="n">
        <v>9</v>
      </c>
      <c r="B13" s="32" t="inlineStr">
        <is>
          <t>Algorithm</t>
        </is>
      </c>
      <c r="C13" s="7" t="inlineStr">
        <is>
          <t>A study of over 900,000 posts (Feb 2023 to Feb 2026) found posts with external links got 26.5% less reach on average, with the penalty growing from about 5% in 2023 to about 42% in 2025; LinkedIn officially says it does not penalise links by default.</t>
        </is>
      </c>
      <c r="D13" s="7" t="inlineStr">
        <is>
          <t>Keep YouTube and newsletter links out of the post body for reach-focused posts, and test link-in-comment versus no link for your own account.</t>
        </is>
      </c>
      <c r="E13" s="7" t="inlineStr">
        <is>
          <t>Ordinal link penalty study</t>
        </is>
      </c>
      <c r="F13" s="27" t="inlineStr">
        <is>
          <t>2026-02</t>
        </is>
      </c>
      <c r="G13" s="27" t="inlineStr">
        <is>
          <t>Medium</t>
        </is>
      </c>
      <c r="H13" s="47" t="inlineStr">
        <is>
          <t>Open</t>
        </is>
      </c>
    </row>
    <row r="14" ht="75" customHeight="1">
      <c r="A14" s="27" t="n">
        <v>10</v>
      </c>
      <c r="B14" s="32" t="inlineStr">
        <is>
          <t>Algorithm</t>
        </is>
      </c>
      <c r="C14" s="7" t="inlineStr">
        <is>
          <t>Metricool's 2025 study of 577,000+ Company Page posts found link posts had 4.9% more impressions and 13.5% more interactions, which conflicts with personal-profile studies showing a link penalty.</t>
        </is>
      </c>
      <c r="D14" s="7" t="inlineStr">
        <is>
          <t>Treat the link penalty as likely for personal profiles but not absolute; run your own A/B test over a month before making a rule.</t>
        </is>
      </c>
      <c r="E14" s="7" t="inlineStr">
        <is>
          <t>Metricool 2025 LinkedIn Study (via Search Engine Journal)</t>
        </is>
      </c>
      <c r="F14" s="27" t="inlineStr">
        <is>
          <t>2025-04</t>
        </is>
      </c>
      <c r="G14" s="27" t="inlineStr">
        <is>
          <t>Medium</t>
        </is>
      </c>
      <c r="H14" s="47" t="inlineStr">
        <is>
          <t>Open</t>
        </is>
      </c>
    </row>
    <row r="15" ht="75" customHeight="1">
      <c r="A15" s="27" t="n">
        <v>11</v>
      </c>
      <c r="B15" s="32" t="inlineStr">
        <is>
          <t>Algorithm</t>
        </is>
      </c>
      <c r="C15" s="7" t="inlineStr">
        <is>
          <t>Van der Blom reports that hashtags no longer give a reach boost, and LigoSocial's analysis of 134,522 posts from 1,499 profiles found hashtags neither hurt nor help much (1 to 2 hashtags about +3% within the same author).</t>
        </is>
      </c>
      <c r="D15" s="7" t="inlineStr">
        <is>
          <t>Use zero to three precise hashtags at most and spend the effort on the hook and topic clarity instead.</t>
        </is>
      </c>
      <c r="E15" s="7" t="inlineStr">
        <is>
          <t>LigoSocial hashtag research; Van der Blom</t>
        </is>
      </c>
      <c r="F15" s="27" t="inlineStr">
        <is>
          <t>2026-09</t>
        </is>
      </c>
      <c r="G15" s="27" t="inlineStr">
        <is>
          <t>Medium</t>
        </is>
      </c>
      <c r="H15" s="47" t="inlineStr">
        <is>
          <t>Open</t>
        </is>
      </c>
    </row>
    <row r="16" ht="75" customHeight="1">
      <c r="A16" s="27" t="n">
        <v>12</v>
      </c>
      <c r="B16" s="32" t="inlineStr">
        <is>
          <t>Algorithm</t>
        </is>
      </c>
      <c r="C16" s="7" t="inlineStr">
        <is>
          <t>An analysis of 340 edited posts across 52 accounts found edits in the first 10 minutes had no measurable reach impact, major edits after 30 minutes cut impressions 30% to 50%, and adding or removing links after publishing cut final impressions by about 42%.</t>
        </is>
      </c>
      <c r="D16" s="7" t="inlineStr">
        <is>
          <t>Fix typos quickly but never add a link or rewrite a post after the first half hour.</t>
        </is>
      </c>
      <c r="E16" s="7" t="inlineStr">
        <is>
          <t>ConnectSafely edited-post analysis</t>
        </is>
      </c>
      <c r="F16" s="27" t="inlineStr">
        <is>
          <t>2026-01</t>
        </is>
      </c>
      <c r="G16" s="27" t="inlineStr">
        <is>
          <t>Low</t>
        </is>
      </c>
      <c r="H16" s="47" t="inlineStr">
        <is>
          <t>Open</t>
        </is>
      </c>
    </row>
    <row r="17" ht="75" customHeight="1">
      <c r="A17" s="27" t="n">
        <v>13</v>
      </c>
      <c r="B17" s="32" t="inlineStr">
        <is>
          <t>Algorithm</t>
        </is>
      </c>
      <c r="C17" s="7" t="inlineStr">
        <is>
          <t>LinkedIn announced in late 2025 and early 2026 that it will remove automated or tool-generated comments from the 'Most Relevant' comment view, may limit comment volume per member, and is acting against engagement pods.</t>
        </is>
      </c>
      <c r="D17" s="7" t="inlineStr">
        <is>
          <t>Avoid pods and AI comment tools entirely; your credibility as a Claude educator depends on visibly human engagement.</t>
        </is>
      </c>
      <c r="E17" s="7" t="inlineStr">
        <is>
          <t>Social Media Today on LinkedIn pod and automation measures</t>
        </is>
      </c>
      <c r="F17" s="27" t="inlineStr">
        <is>
          <t>2026-02</t>
        </is>
      </c>
      <c r="G17" s="27" t="inlineStr">
        <is>
          <t>High</t>
        </is>
      </c>
      <c r="H17" s="47" t="inlineStr">
        <is>
          <t>Open</t>
        </is>
      </c>
    </row>
    <row r="18" ht="75" customHeight="1">
      <c r="A18" s="27" t="n">
        <v>14</v>
      </c>
      <c r="B18" s="32" t="inlineStr">
        <is>
          <t>Algorithm</t>
        </is>
      </c>
      <c r="C18" s="7" t="inlineStr">
        <is>
          <t>Peter Walker of Carta saw week-to-week impression drops of 60% several times in 2025 and concluded that variation in post quality, not shadow banning, best explains such swings.</t>
        </is>
      </c>
      <c r="D18" s="7" t="inlineStr">
        <is>
          <t>Do not over-read one weak week; review monthly medians when assessing Q1/Q2.</t>
        </is>
      </c>
      <c r="E18" s="7" t="inlineStr">
        <is>
          <t>Carta Data, Peter Walker</t>
        </is>
      </c>
      <c r="F18" s="27" t="inlineStr">
        <is>
          <t>2025-05</t>
        </is>
      </c>
      <c r="G18" s="27" t="inlineStr">
        <is>
          <t>Medium</t>
        </is>
      </c>
      <c r="H18" s="47" t="inlineStr">
        <is>
          <t>Open</t>
        </is>
      </c>
    </row>
    <row r="19" ht="75" customHeight="1">
      <c r="A19" s="27" t="n">
        <v>15</v>
      </c>
      <c r="B19" s="48" t="inlineStr">
        <is>
          <t>Formats</t>
        </is>
      </c>
      <c r="C19" s="7" t="inlineStr">
        <is>
          <t>Socialinsider's 2026 LinkedIn benchmarks report native documents (carousels) at about 7.0% engagement, multi-image 6.45%, video 6.0%, image 5.3%, text 4.5%, polls 4.2% and link posts 3.25%, based on Company Page data.</t>
        </is>
      </c>
      <c r="D19" s="7" t="inlineStr">
        <is>
          <t>Make PDF carousels your main format for Claude walkthroughs; they suit step-by-step workflows and earn saves.</t>
        </is>
      </c>
      <c r="E19" s="7" t="inlineStr">
        <is>
          <t>Socialinsider 2026 LinkedIn Benchmarks</t>
        </is>
      </c>
      <c r="F19" s="27" t="inlineStr">
        <is>
          <t>2026-03</t>
        </is>
      </c>
      <c r="G19" s="27" t="inlineStr">
        <is>
          <t>High</t>
        </is>
      </c>
      <c r="H19" s="47" t="inlineStr">
        <is>
          <t>Open</t>
        </is>
      </c>
    </row>
    <row r="20" ht="75" customHeight="1">
      <c r="A20" s="27" t="n">
        <v>16</v>
      </c>
      <c r="B20" s="48" t="inlineStr">
        <is>
          <t>Formats</t>
        </is>
      </c>
      <c r="C20" s="7" t="inlineStr">
        <is>
          <t>Metricool's 2026 study found carousels drove the highest engagement, interactions and reach, with about 611 interactions per post and up to 11 times the interactions of static images, while video performance slipped.</t>
        </is>
      </c>
      <c r="D20" s="7" t="inlineStr">
        <is>
          <t>Convert each YouTube tutorial into a 7 to 10 slide carousel rather than only posting the video clip.</t>
        </is>
      </c>
      <c r="E20" s="7" t="inlineStr">
        <is>
          <t>Metricool 2026 LinkedIn Study (via marketing4ecommerce)</t>
        </is>
      </c>
      <c r="F20" s="27" t="inlineStr">
        <is>
          <t>2026-04</t>
        </is>
      </c>
      <c r="G20" s="27" t="inlineStr">
        <is>
          <t>High</t>
        </is>
      </c>
      <c r="H20" s="47" t="inlineStr">
        <is>
          <t>Open</t>
        </is>
      </c>
    </row>
    <row r="21" ht="75" customHeight="1">
      <c r="A21" s="27" t="n">
        <v>17</v>
      </c>
      <c r="B21" s="48" t="inlineStr">
        <is>
          <t>Formats</t>
        </is>
      </c>
      <c r="C21" s="7" t="inlineStr">
        <is>
          <t>LinkedIn reported total video viewership up 36% year over year (Oct 2024 to Jan 2025) and video creation growing twice as fast as other formats, and expanded its vertical video feed.</t>
        </is>
      </c>
      <c r="D21" s="7" t="inlineStr">
        <is>
          <t>Short native vertical clips (30 to 90 seconds) of Claude demos are worth testing, but not as your only format.</t>
        </is>
      </c>
      <c r="E21" s="7" t="inlineStr">
        <is>
          <t>TechCrunch on LinkedIn video</t>
        </is>
      </c>
      <c r="F21" s="27" t="inlineStr">
        <is>
          <t>2025-02</t>
        </is>
      </c>
      <c r="G21" s="27" t="inlineStr">
        <is>
          <t>High</t>
        </is>
      </c>
      <c r="H21" s="47" t="inlineStr">
        <is>
          <t>Open</t>
        </is>
      </c>
    </row>
    <row r="22" ht="75" customHeight="1">
      <c r="A22" s="27" t="n">
        <v>18</v>
      </c>
      <c r="B22" s="48" t="inlineStr">
        <is>
          <t>Formats</t>
        </is>
      </c>
      <c r="C22" s="7" t="inlineStr">
        <is>
          <t>Van der Blom's October 2025 report found video outperformed other formats despite the general reach decline, text plus image dropped only about 8% in reach, and text-only posts declined sharply.</t>
        </is>
      </c>
      <c r="D22" s="7" t="inlineStr">
        <is>
          <t>Avoid plain text-only posts; pair text with a screenshot of Claude output or a short screen recording.</t>
        </is>
      </c>
      <c r="E22" s="7" t="inlineStr">
        <is>
          <t>Van der Blom Oct 2025 via Siecle Digital</t>
        </is>
      </c>
      <c r="F22" s="27" t="inlineStr">
        <is>
          <t>2025-10</t>
        </is>
      </c>
      <c r="G22" s="27" t="inlineStr">
        <is>
          <t>Medium</t>
        </is>
      </c>
      <c r="H22" s="47" t="inlineStr">
        <is>
          <t>Open</t>
        </is>
      </c>
    </row>
    <row r="23" ht="75" customHeight="1">
      <c r="A23" s="27" t="n">
        <v>19</v>
      </c>
      <c r="B23" s="48" t="inlineStr">
        <is>
          <t>Formats</t>
        </is>
      </c>
      <c r="C23" s="7" t="inlineStr">
        <is>
          <t>Polls are reported to have a 1.64x reach multiplier on personal profiles in van der Blom's data, and Metricool found polls gave the highest average impressions on Company Pages while being under 1% of posts.</t>
        </is>
      </c>
      <c r="D23" s="7" t="inlineStr">
        <is>
          <t>Use one poll a month to ask your audience which Claude workflow to cover next, then publish the result as a carousel.</t>
        </is>
      </c>
      <c r="E23" s="7" t="inlineStr">
        <is>
          <t>Contentin summary of Van der Blom 2025; Metricool 2026</t>
        </is>
      </c>
      <c r="F23" s="27" t="inlineStr">
        <is>
          <t>2026-04</t>
        </is>
      </c>
      <c r="G23" s="27" t="inlineStr">
        <is>
          <t>Medium</t>
        </is>
      </c>
      <c r="H23" s="47" t="inlineStr">
        <is>
          <t>Open</t>
        </is>
      </c>
    </row>
    <row r="24" ht="75" customHeight="1">
      <c r="A24" s="27" t="n">
        <v>20</v>
      </c>
      <c r="B24" s="48" t="inlineStr">
        <is>
          <t>Formats</t>
        </is>
      </c>
      <c r="C24" s="7" t="inlineStr">
        <is>
          <t>A carousel analysis found 7 to 9 slides worked best, with engagement 16.7% lower at 3 or fewer slides and 8.1% lower at 10 or more.</t>
        </is>
      </c>
      <c r="D24" s="7" t="inlineStr">
        <is>
          <t>Standardise your carousel template at 8 slides: hook, problem, 5 steps, result.</t>
        </is>
      </c>
      <c r="E24" s="7" t="inlineStr">
        <is>
          <t>SEO Works carousel vs video analysis (via Mediashower)</t>
        </is>
      </c>
      <c r="F24" s="27" t="inlineStr">
        <is>
          <t>2025-09</t>
        </is>
      </c>
      <c r="G24" s="27" t="inlineStr">
        <is>
          <t>Low</t>
        </is>
      </c>
      <c r="H24" s="47" t="inlineStr">
        <is>
          <t>Open</t>
        </is>
      </c>
    </row>
    <row r="25" ht="75" customHeight="1">
      <c r="A25" s="27" t="n">
        <v>21</v>
      </c>
      <c r="B25" s="48" t="inlineStr">
        <is>
          <t>Formats</t>
        </is>
      </c>
      <c r="C25" s="7" t="inlineStr">
        <is>
          <t>AuthoredUp data indicates posts get about 5 times the reach of LinkedIn articles, but articles are indexed by Google.</t>
        </is>
      </c>
      <c r="D25" s="7" t="inlineStr">
        <is>
          <t>Use feed posts for reach and a monthly newsletter or article for search discoverability and depth.</t>
        </is>
      </c>
      <c r="E25" s="7" t="inlineStr">
        <is>
          <t>AuthoredUp articles vs posts</t>
        </is>
      </c>
      <c r="F25" s="27" t="inlineStr">
        <is>
          <t>2026-02</t>
        </is>
      </c>
      <c r="G25" s="27" t="inlineStr">
        <is>
          <t>Medium</t>
        </is>
      </c>
      <c r="H25" s="47" t="inlineStr">
        <is>
          <t>Open</t>
        </is>
      </c>
    </row>
    <row r="26" ht="75" customHeight="1">
      <c r="A26" s="27" t="n">
        <v>22</v>
      </c>
      <c r="B26" s="48" t="inlineStr">
        <is>
          <t>Formats</t>
        </is>
      </c>
      <c r="C26" s="7" t="inlineStr">
        <is>
          <t>LinkedIn reports more than 184,000 newsletters on the platform, and its November 2025 guidance notes that a first edition automatically invites connections and followers to subscribe.</t>
        </is>
      </c>
      <c r="D26" s="7" t="inlineStr">
        <is>
          <t>Launch a LinkedIn newsletter (for example a fortnightly Claude for Revenue Operations edition) to get the one-time automatic invite to your whole network.</t>
        </is>
      </c>
      <c r="E26" s="7" t="inlineStr">
        <is>
          <t>PPC Land on LinkedIn newsletter guidance</t>
        </is>
      </c>
      <c r="F26" s="27" t="inlineStr">
        <is>
          <t>2025-11</t>
        </is>
      </c>
      <c r="G26" s="27" t="inlineStr">
        <is>
          <t>Medium</t>
        </is>
      </c>
      <c r="H26" s="47" t="inlineStr">
        <is>
          <t>Open</t>
        </is>
      </c>
    </row>
    <row r="27" ht="75" customHeight="1">
      <c r="A27" s="27" t="n">
        <v>23</v>
      </c>
      <c r="B27" s="49" t="inlineStr">
        <is>
          <t>Benchmarks</t>
        </is>
      </c>
      <c r="C27" s="7" t="inlineStr">
        <is>
          <t>AuthoredUp's analysis of about 372,000 posts (Sep 2025 to Feb 2026) found median engagement rate of 2.56% for 0 to 1,000 followers, 2.68% for 1,001 to 5,000, and 2.53% for 5,001 to 20,000.</t>
        </is>
      </c>
      <c r="D27" s="7" t="inlineStr">
        <is>
          <t>Use about 2.5% median engagement rate (engagements divided by impressions) as your pass mark; above 3.5% is a strong post.</t>
        </is>
      </c>
      <c r="E27" s="7" t="inlineStr">
        <is>
          <t>AuthoredUp LinkedIn metrics study</t>
        </is>
      </c>
      <c r="F27" s="27" t="inlineStr">
        <is>
          <t>2026-02</t>
        </is>
      </c>
      <c r="G27" s="27" t="inlineStr">
        <is>
          <t>High</t>
        </is>
      </c>
      <c r="H27" s="47" t="inlineStr">
        <is>
          <t>Open</t>
        </is>
      </c>
    </row>
    <row r="28" ht="75" customHeight="1">
      <c r="A28" s="27" t="n">
        <v>24</v>
      </c>
      <c r="B28" s="49" t="inlineStr">
        <is>
          <t>Benchmarks</t>
        </is>
      </c>
      <c r="C28" s="7" t="inlineStr">
        <is>
          <t>MagicPost's June 2026 benchmark of 22,724 public posts found median impressions of 207 for 0 to 1K followers, 388 for 1K to 5K and 771 for 5K to 10K.</t>
        </is>
      </c>
      <c r="D28" s="7" t="inlineStr">
        <is>
          <t>Compare your median impressions per post to these numbers for your follower tier rather than to viral outliers.</t>
        </is>
      </c>
      <c r="E28" s="7" t="inlineStr">
        <is>
          <t>MagicPost LinkedIn Benchmark June 2026</t>
        </is>
      </c>
      <c r="F28" s="27" t="inlineStr">
        <is>
          <t>2026-06</t>
        </is>
      </c>
      <c r="G28" s="27" t="inlineStr">
        <is>
          <t>Medium</t>
        </is>
      </c>
      <c r="H28" s="47" t="inlineStr">
        <is>
          <t>Open</t>
        </is>
      </c>
    </row>
    <row r="29" ht="75" customHeight="1">
      <c r="A29" s="27" t="n">
        <v>25</v>
      </c>
      <c r="B29" s="49" t="inlineStr">
        <is>
          <t>Benchmarks</t>
        </is>
      </c>
      <c r="C29" s="7" t="inlineStr">
        <is>
          <t>The Shield Index tracked 50,000 posts in February 2026 and found a typical post at 0 to 1K followers reaches about 31% of follower count, falling to about 6% at 100K+, and the 1K to 5K bracket expanded month over month.</t>
        </is>
      </c>
      <c r="D29" s="7" t="inlineStr">
        <is>
          <t>Use reach rate (impressions divided by followers) as a second scorecard metric; being in the 1K to 5K band is currently a favourable position.</t>
        </is>
      </c>
      <c r="E29" s="7" t="inlineStr">
        <is>
          <t>The Shield Index Feb 2026</t>
        </is>
      </c>
      <c r="F29" s="27" t="inlineStr">
        <is>
          <t>2026-02</t>
        </is>
      </c>
      <c r="G29" s="27" t="inlineStr">
        <is>
          <t>Medium</t>
        </is>
      </c>
      <c r="H29" s="47" t="inlineStr">
        <is>
          <t>Open</t>
        </is>
      </c>
    </row>
    <row r="30" ht="75" customHeight="1">
      <c r="A30" s="27" t="n">
        <v>26</v>
      </c>
      <c r="B30" s="49" t="inlineStr">
        <is>
          <t>Benchmarks</t>
        </is>
      </c>
      <c r="C30" s="7" t="inlineStr">
        <is>
          <t>RevBoss tracked 1,202 founder posts from January to August 2026; the median post earned 502 impressions and the 90th percentile 3,334, with personal accounts getting 2.1 times the median impressions of company pages.</t>
        </is>
      </c>
      <c r="D30" s="7" t="inlineStr">
        <is>
          <t>Post from your personal profile, not a business page, and treat 3,000+ impressions as a top-10% result.</t>
        </is>
      </c>
      <c r="E30" s="7" t="inlineStr">
        <is>
          <t>RevBoss founder-led marketing benchmarks 2026</t>
        </is>
      </c>
      <c r="F30" s="27" t="inlineStr">
        <is>
          <t>2026-08</t>
        </is>
      </c>
      <c r="G30" s="27" t="inlineStr">
        <is>
          <t>Medium</t>
        </is>
      </c>
      <c r="H30" s="47" t="inlineStr">
        <is>
          <t>Open</t>
        </is>
      </c>
    </row>
    <row r="31" ht="75" customHeight="1">
      <c r="A31" s="27" t="n">
        <v>27</v>
      </c>
      <c r="B31" s="49" t="inlineStr">
        <is>
          <t>Benchmarks</t>
        </is>
      </c>
      <c r="C31" s="7" t="inlineStr">
        <is>
          <t>Buffer's analysis of 2 million+ posts from 94,000+ accounts found posting 2 to 5 times a week added about 1,182 impressions per post versus once a week, and the effect held across audience sizes.</t>
        </is>
      </c>
      <c r="D31" s="7" t="inlineStr">
        <is>
          <t>Commit to a minimum of 3 posts a week in Q3/Q4 as the baseline cadence.</t>
        </is>
      </c>
      <c r="E31" s="7" t="inlineStr">
        <is>
          <t>Buffer posting frequency study</t>
        </is>
      </c>
      <c r="F31" s="27" t="inlineStr">
        <is>
          <t>2025-12</t>
        </is>
      </c>
      <c r="G31" s="27" t="inlineStr">
        <is>
          <t>High</t>
        </is>
      </c>
      <c r="H31" s="47" t="inlineStr">
        <is>
          <t>Open</t>
        </is>
      </c>
    </row>
    <row r="32" ht="75" customHeight="1">
      <c r="A32" s="27" t="n">
        <v>28</v>
      </c>
      <c r="B32" s="49" t="inlineStr">
        <is>
          <t>Benchmarks</t>
        </is>
      </c>
      <c r="C32" s="7" t="inlineStr">
        <is>
          <t>Metricool's 2026 study (673,658 posts, about 65,000 accounts) found likes down 13%, comments down 17% and shares down 10% year over year, while overall engagement rose about 14% due to clicks, carousel swipes and video views.</t>
        </is>
      </c>
      <c r="D32" s="7" t="inlineStr">
        <is>
          <t>Track clicks, saves, sends and profile views alongside visible reactions, because visible likes understate real interest.</t>
        </is>
      </c>
      <c r="E32" s="7" t="inlineStr">
        <is>
          <t>Metricool 2026 LinkedIn Study press release</t>
        </is>
      </c>
      <c r="F32" s="27" t="inlineStr">
        <is>
          <t>2026-04</t>
        </is>
      </c>
      <c r="G32" s="27" t="inlineStr">
        <is>
          <t>High</t>
        </is>
      </c>
      <c r="H32" s="47" t="inlineStr">
        <is>
          <t>Open</t>
        </is>
      </c>
    </row>
    <row r="33" ht="75" customHeight="1">
      <c r="A33" s="27" t="n">
        <v>29</v>
      </c>
      <c r="B33" s="49" t="inlineStr">
        <is>
          <t>Benchmarks</t>
        </is>
      </c>
      <c r="C33" s="7" t="inlineStr">
        <is>
          <t>Metricool's 2026 study found personal profiles had 63% higher engagement rates than company pages and that half of a post's impressions arrive in the first 48 hours.</t>
        </is>
      </c>
      <c r="D33" s="7" t="inlineStr">
        <is>
          <t>Assess each post at 48 hours and 7 days for consistent reporting.</t>
        </is>
      </c>
      <c r="E33" s="7" t="inlineStr">
        <is>
          <t>Metricool 2026 LinkedIn Study</t>
        </is>
      </c>
      <c r="F33" s="27" t="inlineStr">
        <is>
          <t>2026-04</t>
        </is>
      </c>
      <c r="G33" s="27" t="inlineStr">
        <is>
          <t>High</t>
        </is>
      </c>
      <c r="H33" s="47" t="inlineStr">
        <is>
          <t>Open</t>
        </is>
      </c>
    </row>
    <row r="34" ht="75" customHeight="1">
      <c r="A34" s="27" t="n">
        <v>30</v>
      </c>
      <c r="B34" s="49" t="inlineStr">
        <is>
          <t>Benchmarks</t>
        </is>
      </c>
      <c r="C34" s="7" t="inlineStr">
        <is>
          <t>Favikon's measurement of 499 LinkedIn creator profiles (September 2026) found a median engagement rate of 0.93% of followers for 1K to 10K accounts, with the middle half between 0.51% and 2.49%.</t>
        </is>
      </c>
      <c r="D34" s="7" t="inlineStr">
        <is>
          <t>If you reports engagement per follower rather than per impression, about 1% is median and 2.5% is top quartile.</t>
        </is>
      </c>
      <c r="E34" s="7" t="inlineStr">
        <is>
          <t>Favikon LinkedIn engagement rate benchmark</t>
        </is>
      </c>
      <c r="F34" s="27" t="inlineStr">
        <is>
          <t>2026-09</t>
        </is>
      </c>
      <c r="G34" s="27" t="inlineStr">
        <is>
          <t>Medium</t>
        </is>
      </c>
      <c r="H34" s="47" t="inlineStr">
        <is>
          <t>Open</t>
        </is>
      </c>
    </row>
    <row r="35" ht="75" customHeight="1">
      <c r="A35" s="27" t="n">
        <v>31</v>
      </c>
      <c r="B35" s="49" t="inlineStr">
        <is>
          <t>Benchmarks</t>
        </is>
      </c>
      <c r="C35" s="7" t="inlineStr">
        <is>
          <t>Buffer's 2026 analysis of 4.8 million posts found peak engagement moving later, with weekdays 3 to 8 p.m. strong and Wednesday 4 p.m. the single best slot; Hootsuite and Sprout data favour Tuesday to Thursday mornings.</t>
        </is>
      </c>
      <c r="D35" s="7" t="inlineStr">
        <is>
          <t>Test two slots (8 to 10 a.m. and 3 to 5 p.m. in your audience's time zone, Tuesday to Thursday) and keep the winner.</t>
        </is>
      </c>
      <c r="E35" s="7" t="inlineStr">
        <is>
          <t>Buffer best time to post 2026 (via socialk.it); Hootsuite; Sprout Social</t>
        </is>
      </c>
      <c r="F35" s="27" t="inlineStr">
        <is>
          <t>2026-03</t>
        </is>
      </c>
      <c r="G35" s="27" t="inlineStr">
        <is>
          <t>Medium</t>
        </is>
      </c>
      <c r="H35" s="47" t="inlineStr">
        <is>
          <t>Open</t>
        </is>
      </c>
    </row>
    <row r="36" ht="75" customHeight="1">
      <c r="A36" s="27" t="n">
        <v>32</v>
      </c>
      <c r="B36" s="49" t="inlineStr">
        <is>
          <t>Benchmarks</t>
        </is>
      </c>
      <c r="C36" s="7" t="inlineStr">
        <is>
          <t>AuthoredUp found posts of 1,301 to 2,500 characters earned about 27% higher engagement than posts under 400 characters, with top posts clustering around 800 to 1,100 characters.</t>
        </is>
      </c>
      <c r="D36" s="7" t="inlineStr">
        <is>
          <t>Aim for 900 to 1,500 characters for text and image posts.</t>
        </is>
      </c>
      <c r="E36" s="7" t="inlineStr">
        <is>
          <t>AuthoredUp data via Shield Index</t>
        </is>
      </c>
      <c r="F36" s="27" t="inlineStr">
        <is>
          <t>2026-02</t>
        </is>
      </c>
      <c r="G36" s="27" t="inlineStr">
        <is>
          <t>Medium</t>
        </is>
      </c>
      <c r="H36" s="47" t="inlineStr">
        <is>
          <t>Open</t>
        </is>
      </c>
    </row>
    <row r="37" ht="75" customHeight="1">
      <c r="A37" s="27" t="n">
        <v>33</v>
      </c>
      <c r="B37" s="50" t="inlineStr">
        <is>
          <t>AI niche</t>
        </is>
      </c>
      <c r="C37" s="7" t="inlineStr">
        <is>
          <t>Pangram Labs scanned about 1 million posts across five platforms (April to June 2026) and found 41% of LinkedIn posts over 250 words were fully AI-generated; LinkedIn accounted for about 62% of all AI-flagged content.</t>
        </is>
      </c>
      <c r="D37" s="7" t="inlineStr">
        <is>
          <t>Your posts about Claude must not read as AI-written; personal client stories and real screenshots will stand out against that background.</t>
        </is>
      </c>
      <c r="E37" s="7" t="inlineStr">
        <is>
          <t>Pangram Labs study via The Decoder</t>
        </is>
      </c>
      <c r="F37" s="27" t="inlineStr">
        <is>
          <t>2026-07</t>
        </is>
      </c>
      <c r="G37" s="27" t="inlineStr">
        <is>
          <t>High</t>
        </is>
      </c>
      <c r="H37" s="47" t="inlineStr">
        <is>
          <t>Open</t>
        </is>
      </c>
    </row>
    <row r="38" ht="75" customHeight="1">
      <c r="A38" s="27" t="n">
        <v>34</v>
      </c>
      <c r="B38" s="50" t="inlineStr">
        <is>
          <t>AI niche</t>
        </is>
      </c>
      <c r="C38" s="7" t="inlineStr">
        <is>
          <t>Originality.ai analysed 3,368 long-form posts from 99 influential profiles in 2025 and classified 53.7% as likely AI, with likely-AI posts getting 45% less engagement on average than likely-original posts.</t>
        </is>
      </c>
      <c r="D38" s="7" t="inlineStr">
        <is>
          <t>Use Claude for drafting and research but rewrite in your own voice; the data suggests visible AI writing costs engagement.</t>
        </is>
      </c>
      <c r="E38" s="7" t="inlineStr">
        <is>
          <t>Originality.ai LinkedIn AI engagement study</t>
        </is>
      </c>
      <c r="F38" s="27" t="inlineStr">
        <is>
          <t>2025-09</t>
        </is>
      </c>
      <c r="G38" s="27" t="inlineStr">
        <is>
          <t>Medium</t>
        </is>
      </c>
      <c r="H38" s="47" t="inlineStr">
        <is>
          <t>Open</t>
        </is>
      </c>
    </row>
    <row r="39" ht="75" customHeight="1">
      <c r="A39" s="27" t="n">
        <v>35</v>
      </c>
      <c r="B39" s="50" t="inlineStr">
        <is>
          <t>AI niche</t>
        </is>
      </c>
      <c r="C39" s="7" t="inlineStr">
        <is>
          <t>In the same Originality.ai study, human-written posts out-engaged likely-AI posts by 40% in government and public affairs and 44% in healthcare.</t>
        </is>
      </c>
      <c r="D39" s="7" t="inlineStr">
        <is>
          <t>Your public-sector audience rewards human writing even more, so posts on government platform modernisation should lean on first-hand project experience.</t>
        </is>
      </c>
      <c r="E39" s="7" t="inlineStr">
        <is>
          <t>Originality.ai via PPC Land</t>
        </is>
      </c>
      <c r="F39" s="27" t="inlineStr">
        <is>
          <t>2025-09</t>
        </is>
      </c>
      <c r="G39" s="27" t="inlineStr">
        <is>
          <t>Medium</t>
        </is>
      </c>
      <c r="H39" s="47" t="inlineStr">
        <is>
          <t>Open</t>
        </is>
      </c>
    </row>
    <row r="40" ht="75" customHeight="1">
      <c r="A40" s="27" t="n">
        <v>36</v>
      </c>
      <c r="B40" s="50" t="inlineStr">
        <is>
          <t>AI niche</t>
        </is>
      </c>
      <c r="C40" s="7" t="inlineStr">
        <is>
          <t>eMarketer reported consumer enthusiasm for AI-generated creator content fell from 60% in 2023 to 26% in 2025.</t>
        </is>
      </c>
      <c r="D40" s="7" t="inlineStr">
        <is>
          <t>Position content as human expertise using AI, not AI content; show your judgement, not just the tool output.</t>
        </is>
      </c>
      <c r="E40" s="7" t="inlineStr">
        <is>
          <t>eMarketer exclusive on AI creator content</t>
        </is>
      </c>
      <c r="F40" s="27" t="inlineStr">
        <is>
          <t>2025-07</t>
        </is>
      </c>
      <c r="G40" s="27" t="inlineStr">
        <is>
          <t>Medium</t>
        </is>
      </c>
      <c r="H40" s="47" t="inlineStr">
        <is>
          <t>Open</t>
        </is>
      </c>
    </row>
    <row r="41" ht="75" customHeight="1">
      <c r="A41" s="27" t="n">
        <v>37</v>
      </c>
      <c r="B41" s="50" t="inlineStr">
        <is>
          <t>AI niche</t>
        </is>
      </c>
      <c r="C41" s="7" t="inlineStr">
        <is>
          <t>Brand24's analysis of Claude conversations found about 52% came from people sharing Claude Code outcomes, and the best-performing Claude content was builds, benchmarks and workflow wins.</t>
        </is>
      </c>
      <c r="D41" s="7" t="inlineStr">
        <is>
          <t>Show what you built with Claude (a CRM clean-up, a pipeline report, a dashboard) with before and after, which matches what performs in the Claude conversation.</t>
        </is>
      </c>
      <c r="E41" s="7" t="inlineStr">
        <is>
          <t>Brand24 Claude usage report</t>
        </is>
      </c>
      <c r="F41" s="27" t="inlineStr">
        <is>
          <t>2026-04</t>
        </is>
      </c>
      <c r="G41" s="27" t="inlineStr">
        <is>
          <t>Medium</t>
        </is>
      </c>
      <c r="H41" s="47" t="inlineStr">
        <is>
          <t>Open</t>
        </is>
      </c>
    </row>
    <row r="42" ht="75" customHeight="1">
      <c r="A42" s="27" t="n">
        <v>38</v>
      </c>
      <c r="B42" s="50" t="inlineStr">
        <is>
          <t>AI niche</t>
        </is>
      </c>
      <c r="C42" s="7" t="inlineStr">
        <is>
          <t>Fiverr's Business Trends Index reported demand for Claude Code specialists rose 938% over six months.</t>
        </is>
      </c>
      <c r="D42" s="7" t="inlineStr">
        <is>
          <t>There is buyer demand for people who can apply Claude Code to business workflows, which supports offering Claude implementation services to sales and ops teams.</t>
        </is>
      </c>
      <c r="E42" s="7" t="inlineStr">
        <is>
          <t>Fiverr Business Trends Index via press release</t>
        </is>
      </c>
      <c r="F42" s="27" t="inlineStr">
        <is>
          <t>2026-03</t>
        </is>
      </c>
      <c r="G42" s="27" t="inlineStr">
        <is>
          <t>Low</t>
        </is>
      </c>
      <c r="H42" s="47" t="inlineStr">
        <is>
          <t>Open</t>
        </is>
      </c>
    </row>
    <row r="43" ht="75" customHeight="1">
      <c r="A43" s="27" t="n">
        <v>39</v>
      </c>
      <c r="B43" s="50" t="inlineStr">
        <is>
          <t>AI niche</t>
        </is>
      </c>
      <c r="C43" s="7" t="inlineStr">
        <is>
          <t>Salesforce's State of Sales 2026 report found 87% of sales organisations use some form of AI and 54% already deploy AI agents, with top benefits being data accuracy, sales planning and retention.</t>
        </is>
      </c>
      <c r="D43" s="7" t="inlineStr">
        <is>
          <t>Sales ops and CRM data quality with Claude is a live buyer problem; content on agents updating CRM records and improving data accuracy fits your consulting work.</t>
        </is>
      </c>
      <c r="E43" s="7" t="inlineStr">
        <is>
          <t>Salesforce State of Sales 2026</t>
        </is>
      </c>
      <c r="F43" s="27" t="inlineStr">
        <is>
          <t>2026-01</t>
        </is>
      </c>
      <c r="G43" s="27" t="inlineStr">
        <is>
          <t>High</t>
        </is>
      </c>
      <c r="H43" s="47" t="inlineStr">
        <is>
          <t>Open</t>
        </is>
      </c>
    </row>
    <row r="44" ht="75" customHeight="1">
      <c r="A44" s="27" t="n">
        <v>40</v>
      </c>
      <c r="B44" s="50" t="inlineStr">
        <is>
          <t>AI niche</t>
        </is>
      </c>
      <c r="C44" s="7" t="inlineStr">
        <is>
          <t>AI literacy topped LinkedIn's 2025 Skills on the Rise list, defined as using AI tools for business purposes rather than building models.</t>
        </is>
      </c>
      <c r="D44" s="7" t="inlineStr">
        <is>
          <t>Practical, non-technical Claude tutorials for business users target the exact skill LinkedIn members are trying to build.</t>
        </is>
      </c>
      <c r="E44" s="7" t="inlineStr">
        <is>
          <t>LinkedIn Skills on the Rise 2025 (via iTWire)</t>
        </is>
      </c>
      <c r="F44" s="27" t="inlineStr">
        <is>
          <t>2025-03</t>
        </is>
      </c>
      <c r="G44" s="27" t="inlineStr">
        <is>
          <t>High</t>
        </is>
      </c>
      <c r="H44" s="47" t="inlineStr">
        <is>
          <t>Open</t>
        </is>
      </c>
    </row>
    <row r="45" ht="75" customHeight="1">
      <c r="A45" s="27" t="n">
        <v>41</v>
      </c>
      <c r="B45" s="50" t="inlineStr">
        <is>
          <t>AI niche</t>
        </is>
      </c>
      <c r="C45" s="7" t="inlineStr">
        <is>
          <t>Large AI creators grew with practical tutorials: Ruben Hassid grew from about 8,000 to 400,000 followers with hands-on AI content tips, and Allie Miller is known for jargon-free explainers of AI agents and coding tools.</t>
        </is>
      </c>
      <c r="D45" s="7" t="inlineStr">
        <is>
          <t>Copy the pattern (practical, specific, repeatable formats), not the generic AI-news topic, and keep your niche angle on revenue operations and government.</t>
        </is>
      </c>
      <c r="E45" s="7" t="inlineStr">
        <is>
          <t>UsefulAI LinkedIn AI accounts list; Website Builder Expert</t>
        </is>
      </c>
      <c r="F45" s="27" t="inlineStr">
        <is>
          <t>2025-10</t>
        </is>
      </c>
      <c r="G45" s="27" t="inlineStr">
        <is>
          <t>Low</t>
        </is>
      </c>
      <c r="H45" s="47" t="inlineStr">
        <is>
          <t>Open</t>
        </is>
      </c>
    </row>
    <row r="46" ht="75" customHeight="1">
      <c r="A46" s="27" t="n">
        <v>42</v>
      </c>
      <c r="B46" s="50" t="inlineStr">
        <is>
          <t>AI niche</t>
        </is>
      </c>
      <c r="C46" s="7" t="inlineStr">
        <is>
          <t>Van der Blom's October 2025 report found creators using a mix weighted towards how-to education (about 40%) plus industry insight (15%) and personal brand (15%) were about 20% more visible.</t>
        </is>
      </c>
      <c r="D46" s="7" t="inlineStr">
        <is>
          <t>Set your Q3/Q4 mix to roughly 40% Claude how-tos, 20% sales ops and public-sector insight, 15% client stories, and the rest opinion and personal posts.</t>
        </is>
      </c>
      <c r="E46" s="7" t="inlineStr">
        <is>
          <t>Van der Blom Oct 2025 via Siecle Digital</t>
        </is>
      </c>
      <c r="F46" s="27" t="inlineStr">
        <is>
          <t>2025-10</t>
        </is>
      </c>
      <c r="G46" s="27" t="inlineStr">
        <is>
          <t>Medium</t>
        </is>
      </c>
      <c r="H46" s="47" t="inlineStr">
        <is>
          <t>Open</t>
        </is>
      </c>
    </row>
    <row r="47" ht="75" customHeight="1">
      <c r="A47" s="27" t="n">
        <v>43</v>
      </c>
      <c r="B47" s="51" t="inlineStr">
        <is>
          <t>Creator practice</t>
        </is>
      </c>
      <c r="C47" s="7" t="inlineStr">
        <is>
          <t>AuthoredUp found a first-line hook under 60 characters was one of the strongest predictors of posts that start conversations, and LinkedIn truncates at about 140 characters on mobile and 210 on desktop.</t>
        </is>
      </c>
      <c r="D47" s="7" t="inlineStr">
        <is>
          <t>Keep the opening line under 60 characters and state a specific result, for example 'Claude cleaned 4,000 CRM records in 20 minutes.'</t>
        </is>
      </c>
      <c r="E47" s="7" t="inlineStr">
        <is>
          <t>AuthoredUp data via Shield Index; Justpollen character limits</t>
        </is>
      </c>
      <c r="F47" s="27" t="inlineStr">
        <is>
          <t>2026-02</t>
        </is>
      </c>
      <c r="G47" s="27" t="inlineStr">
        <is>
          <t>Medium</t>
        </is>
      </c>
      <c r="H47" s="47" t="inlineStr">
        <is>
          <t>Open</t>
        </is>
      </c>
    </row>
    <row r="48" ht="75" customHeight="1">
      <c r="A48" s="27" t="n">
        <v>44</v>
      </c>
      <c r="B48" s="51" t="inlineStr">
        <is>
          <t>Creator practice</t>
        </is>
      </c>
      <c r="C48" s="7" t="inlineStr">
        <is>
          <t>LinkedIn has stated that commenting once a week can triple profile views, and LinkedIn now shows impression counts on comments.</t>
        </is>
      </c>
      <c r="D48" s="7" t="inlineStr">
        <is>
          <t>Schedule 15 to 20 minutes a day to leave detailed comments on posts by sales ops, RevOps and govtech leaders.</t>
        </is>
      </c>
      <c r="E48" s="7" t="inlineStr">
        <is>
          <t>Lindsey Gamble on LinkedIn commenting data</t>
        </is>
      </c>
      <c r="F48" s="27" t="inlineStr">
        <is>
          <t>2025-06</t>
        </is>
      </c>
      <c r="G48" s="27" t="inlineStr">
        <is>
          <t>Medium</t>
        </is>
      </c>
      <c r="H48" s="47" t="inlineStr">
        <is>
          <t>Open</t>
        </is>
      </c>
    </row>
    <row r="49" ht="75" customHeight="1">
      <c r="A49" s="27" t="n">
        <v>45</v>
      </c>
      <c r="B49" s="51" t="inlineStr">
        <is>
          <t>Creator practice</t>
        </is>
      </c>
      <c r="C49" s="7" t="inlineStr">
        <is>
          <t>LinkedIn reported comments were up 37% year over year and posts up 14% year over year in 2025.</t>
        </is>
      </c>
      <c r="D49" s="7" t="inlineStr">
        <is>
          <t>The feed is more crowded, so recurring named series help your posts be recognised and saved.</t>
        </is>
      </c>
      <c r="E49" s="7" t="inlineStr">
        <is>
          <t>eMarketer on LinkedIn earnings</t>
        </is>
      </c>
      <c r="F49" s="27" t="inlineStr">
        <is>
          <t>2025-07</t>
        </is>
      </c>
      <c r="G49" s="27" t="inlineStr">
        <is>
          <t>Medium</t>
        </is>
      </c>
      <c r="H49" s="47" t="inlineStr">
        <is>
          <t>Open</t>
        </is>
      </c>
    </row>
    <row r="50" ht="75" customHeight="1">
      <c r="A50" s="27" t="n">
        <v>46</v>
      </c>
      <c r="B50" s="51" t="inlineStr">
        <is>
          <t>Creator practice</t>
        </is>
      </c>
      <c r="C50" s="7" t="inlineStr">
        <is>
          <t>Justin Welsh's hub-and-spoke model repurposes one core piece (newsletter or long-form) into many LinkedIn posts and back to a website.</t>
        </is>
      </c>
      <c r="D50" s="7" t="inlineStr">
        <is>
          <t>Use each YouTube video as the hub: one carousel, one short clip, one text lesson and one newsletter section per video.</t>
        </is>
      </c>
      <c r="E50" s="7" t="inlineStr">
        <is>
          <t>Growing Viral on Justin Welsh</t>
        </is>
      </c>
      <c r="F50" s="27" t="inlineStr">
        <is>
          <t>2025-06</t>
        </is>
      </c>
      <c r="G50" s="27" t="inlineStr">
        <is>
          <t>Low</t>
        </is>
      </c>
      <c r="H50" s="47" t="inlineStr">
        <is>
          <t>Open</t>
        </is>
      </c>
    </row>
    <row r="51" ht="75" customHeight="1">
      <c r="A51" s="27" t="n">
        <v>47</v>
      </c>
      <c r="B51" s="51" t="inlineStr">
        <is>
          <t>Creator practice</t>
        </is>
      </c>
      <c r="C51" s="7" t="inlineStr">
        <is>
          <t>The 2025 Edelman and LinkedIn B2B Thought Leadership Impact Report found 64% of decision makers spend more than an hour a week reading thought leadership and 55% use it to vet vendors.</t>
        </is>
      </c>
      <c r="D51" s="7" t="inlineStr">
        <is>
          <t>Clients will check your content before hiring you, so your recent posts work as a portfolio of how you thinks.</t>
        </is>
      </c>
      <c r="E51" s="7" t="inlineStr">
        <is>
          <t>Edelman-LinkedIn 2025 report (via Shno)</t>
        </is>
      </c>
      <c r="F51" s="27" t="inlineStr">
        <is>
          <t>2025-06</t>
        </is>
      </c>
      <c r="G51" s="27" t="inlineStr">
        <is>
          <t>Medium</t>
        </is>
      </c>
      <c r="H51" s="47" t="inlineStr">
        <is>
          <t>Open</t>
        </is>
      </c>
    </row>
    <row r="52" ht="75" customHeight="1">
      <c r="A52" s="27" t="n">
        <v>48</v>
      </c>
      <c r="B52" s="52" t="inlineStr">
        <is>
          <t>Profile</t>
        </is>
      </c>
      <c r="C52" s="7" t="inlineStr">
        <is>
          <t>LinkedIn removed the Creator Mode toggle in March 2024 and folded its tools (newsletter, Live, custom profile link) into all eligible profiles; members can set Follow or Connect as the main button.</t>
        </is>
      </c>
      <c r="D52" s="7" t="inlineStr">
        <is>
          <t>Set the primary button to Follow, add a custom link to your booking page or YouTube, and use Featured for your best carousel and newsletter.</t>
        </is>
      </c>
      <c r="E52" s="7" t="inlineStr">
        <is>
          <t>Guiding Tech on Creator Mode retirement</t>
        </is>
      </c>
      <c r="F52" s="27" t="inlineStr">
        <is>
          <t>2024-03</t>
        </is>
      </c>
      <c r="G52" s="27" t="inlineStr">
        <is>
          <t>High</t>
        </is>
      </c>
      <c r="H52" s="47" t="inlineStr">
        <is>
          <t>Open</t>
        </is>
      </c>
    </row>
    <row r="53" ht="75" customHeight="1">
      <c r="A53" s="27" t="n">
        <v>49</v>
      </c>
      <c r="B53" s="52" t="inlineStr">
        <is>
          <t>Profile</t>
        </is>
      </c>
      <c r="C53" s="7" t="inlineStr">
        <is>
          <t>LinkedIn introduced post-level analytics for followers gained and profile views per post, plus saves, sends and custom button clicks.</t>
        </is>
      </c>
      <c r="D53" s="7" t="inlineStr">
        <is>
          <t>Use per-post profile views and followers gained to identify which topics bring the right visitors, and report these in the Q3/Q4 review.</t>
        </is>
      </c>
      <c r="E53" s="7" t="inlineStr">
        <is>
          <t>Lindsey Gamble on LinkedIn creator tools</t>
        </is>
      </c>
      <c r="F53" s="27" t="inlineStr">
        <is>
          <t>2025-10</t>
        </is>
      </c>
      <c r="G53" s="27" t="inlineStr">
        <is>
          <t>Medium</t>
        </is>
      </c>
      <c r="H53" s="47" t="inlineStr">
        <is>
          <t>Open</t>
        </is>
      </c>
    </row>
    <row r="54" ht="75" customHeight="1">
      <c r="A54" s="27" t="n">
        <v>50</v>
      </c>
      <c r="B54" s="52" t="inlineStr">
        <is>
          <t>Profile</t>
        </is>
      </c>
      <c r="C54" s="7" t="inlineStr">
        <is>
          <t>LinkedIn's long-cited data says profiles with a photo get about 21 times more profile views and 9 times more connection requests.</t>
        </is>
      </c>
      <c r="D54" s="7" t="inlineStr">
        <is>
          <t>Confirm a current, clear headshot and a banner that states your offer (Claude for sales ops, CRM and public sector).</t>
        </is>
      </c>
      <c r="E54" s="7" t="inlineStr">
        <is>
          <t>LinkedIn data as reported by Social Media Today</t>
        </is>
      </c>
      <c r="F54" s="27" t="inlineStr">
        <is>
          <t>2024-01</t>
        </is>
      </c>
      <c r="G54" s="27" t="inlineStr">
        <is>
          <t>Low</t>
        </is>
      </c>
      <c r="H54" s="47" t="inlineStr">
        <is>
          <t>Open</t>
        </is>
      </c>
    </row>
    <row r="55" ht="75" customHeight="1">
      <c r="A55" s="27" t="n">
        <v>51</v>
      </c>
      <c r="B55" s="53" t="inlineStr">
        <is>
          <t>Monetisation</t>
        </is>
      </c>
      <c r="C55" s="7" t="inlineStr">
        <is>
          <t>LinkedIn's B2B Institute (Ehrenberg-Bass research) found only about 5% of B2B buyers are in market at any time; the other 95% are forming preferences for later.</t>
        </is>
      </c>
      <c r="D55" s="7" t="inlineStr">
        <is>
          <t>Do not expect posts to convert immediately; measure inbound conversations and discovery calls on a 6 to 12 month view.</t>
        </is>
      </c>
      <c r="E55" s="7" t="inlineStr">
        <is>
          <t>B2B Institute 95-5 rule (via Gripped)</t>
        </is>
      </c>
      <c r="F55" s="27" t="inlineStr">
        <is>
          <t>2021-01</t>
        </is>
      </c>
      <c r="G55" s="27" t="inlineStr">
        <is>
          <t>High</t>
        </is>
      </c>
      <c r="H55" s="47" t="inlineStr">
        <is>
          <t>Open</t>
        </is>
      </c>
    </row>
    <row r="56" ht="75" customHeight="1">
      <c r="A56" s="27" t="n">
        <v>52</v>
      </c>
      <c r="B56" s="53" t="inlineStr">
        <is>
          <t>Monetisation</t>
        </is>
      </c>
      <c r="C56" s="7" t="inlineStr">
        <is>
          <t>The 2024 Edelman and LinkedIn report found about 9 in 10 decision makers are more receptive to sales outreach from people who consistently publish high-quality thought leadership.</t>
        </is>
      </c>
      <c r="D56" s="7" t="inlineStr">
        <is>
          <t>Pair content with direct outreach: after someone engages twice, send a personal message offering a relevant resource or a short call.</t>
        </is>
      </c>
      <c r="E56" s="7" t="inlineStr">
        <is>
          <t>Edelman-LinkedIn B2B Thought Leadership Impact Report 2024</t>
        </is>
      </c>
      <c r="F56" s="27" t="inlineStr">
        <is>
          <t>2024-02</t>
        </is>
      </c>
      <c r="G56" s="27" t="inlineStr">
        <is>
          <t>High</t>
        </is>
      </c>
      <c r="H56" s="47" t="inlineStr">
        <is>
          <t>Open</t>
        </is>
      </c>
    </row>
    <row r="57" ht="75" customHeight="1">
      <c r="A57" s="27" t="n">
        <v>53</v>
      </c>
      <c r="B57" s="53" t="inlineStr">
        <is>
          <t>Monetisation</t>
        </is>
      </c>
      <c r="C57" s="7" t="inlineStr">
        <is>
          <t>A creator analysis on Substack reported getting 3 times more inbound leads from commenting than from posting.</t>
        </is>
      </c>
      <c r="D57" s="7" t="inlineStr">
        <is>
          <t>Treat strategic commenting on prospects' and partners' posts as a lead source, not just a reach tactic.</t>
        </is>
      </c>
      <c r="E57" s="7" t="inlineStr">
        <is>
          <t>Startup GTM Substack, Comment OS</t>
        </is>
      </c>
      <c r="F57" s="27" t="inlineStr">
        <is>
          <t>2025-10</t>
        </is>
      </c>
      <c r="G57" s="27" t="inlineStr">
        <is>
          <t>Low</t>
        </is>
      </c>
      <c r="H57" s="47" t="inlineStr">
        <is>
          <t>Open</t>
        </is>
      </c>
    </row>
    <row r="59" ht="40" customHeight="1">
      <c r="A59" s="35" t="inlineStr">
        <is>
          <t>Confidence: High = official LinkedIn statement, peer-reviewed paper, or a study quoted consistently in several places. Medium = a named study reported second-hand. Low = a single vendor or anecdote. LinkedIn's own pages were blocked during research, so findings come from published summaries of each study.</t>
        </is>
      </c>
    </row>
  </sheetData>
  <autoFilter ref="A4:H57"/>
  <mergeCells count="3">
    <mergeCell ref="A59:H59"/>
    <mergeCell ref="A2:H2"/>
    <mergeCell ref="A1:H1"/>
  </mergeCells>
  <conditionalFormatting sqref="G5:G57">
    <cfRule type="cellIs" priority="1" operator="equal" dxfId="2">
      <formula>"High"</formula>
    </cfRule>
    <cfRule type="cellIs" priority="2" operator="equal" dxfId="1">
      <formula>"Medium"</formula>
    </cfRule>
    <cfRule type="cellIs" priority="3" operator="equal" dxfId="0">
      <formula>"Low"</formula>
    </cfRule>
  </conditionalFormatting>
  <hyperlinks>
    <hyperlink xmlns:r="http://schemas.openxmlformats.org/officeDocument/2006/relationships" ref="H5" r:id="rId1"/>
    <hyperlink xmlns:r="http://schemas.openxmlformats.org/officeDocument/2006/relationships" ref="H6" r:id="rId2"/>
    <hyperlink xmlns:r="http://schemas.openxmlformats.org/officeDocument/2006/relationships" ref="H7" r:id="rId3"/>
    <hyperlink xmlns:r="http://schemas.openxmlformats.org/officeDocument/2006/relationships" ref="H8" r:id="rId4"/>
    <hyperlink xmlns:r="http://schemas.openxmlformats.org/officeDocument/2006/relationships" ref="H9" r:id="rId5"/>
    <hyperlink xmlns:r="http://schemas.openxmlformats.org/officeDocument/2006/relationships" ref="H10" r:id="rId6"/>
    <hyperlink xmlns:r="http://schemas.openxmlformats.org/officeDocument/2006/relationships" ref="H11" r:id="rId7"/>
    <hyperlink xmlns:r="http://schemas.openxmlformats.org/officeDocument/2006/relationships" ref="H12" r:id="rId8"/>
    <hyperlink xmlns:r="http://schemas.openxmlformats.org/officeDocument/2006/relationships" ref="H13" r:id="rId9"/>
    <hyperlink xmlns:r="http://schemas.openxmlformats.org/officeDocument/2006/relationships" ref="H14" r:id="rId10"/>
    <hyperlink xmlns:r="http://schemas.openxmlformats.org/officeDocument/2006/relationships" ref="H15" r:id="rId11"/>
    <hyperlink xmlns:r="http://schemas.openxmlformats.org/officeDocument/2006/relationships" ref="H16" r:id="rId12"/>
    <hyperlink xmlns:r="http://schemas.openxmlformats.org/officeDocument/2006/relationships" ref="H17" r:id="rId13"/>
    <hyperlink xmlns:r="http://schemas.openxmlformats.org/officeDocument/2006/relationships" ref="H18" r:id="rId14"/>
    <hyperlink xmlns:r="http://schemas.openxmlformats.org/officeDocument/2006/relationships" ref="H19" r:id="rId15"/>
    <hyperlink xmlns:r="http://schemas.openxmlformats.org/officeDocument/2006/relationships" ref="H20" r:id="rId16"/>
    <hyperlink xmlns:r="http://schemas.openxmlformats.org/officeDocument/2006/relationships" ref="H21" r:id="rId17"/>
    <hyperlink xmlns:r="http://schemas.openxmlformats.org/officeDocument/2006/relationships" ref="H22" r:id="rId18"/>
    <hyperlink xmlns:r="http://schemas.openxmlformats.org/officeDocument/2006/relationships" ref="H23" r:id="rId19"/>
    <hyperlink xmlns:r="http://schemas.openxmlformats.org/officeDocument/2006/relationships" ref="H24" r:id="rId20"/>
    <hyperlink xmlns:r="http://schemas.openxmlformats.org/officeDocument/2006/relationships" ref="H25" r:id="rId21"/>
    <hyperlink xmlns:r="http://schemas.openxmlformats.org/officeDocument/2006/relationships" ref="H26" r:id="rId22"/>
    <hyperlink xmlns:r="http://schemas.openxmlformats.org/officeDocument/2006/relationships" ref="H27" r:id="rId23"/>
    <hyperlink xmlns:r="http://schemas.openxmlformats.org/officeDocument/2006/relationships" ref="H28" r:id="rId24"/>
    <hyperlink xmlns:r="http://schemas.openxmlformats.org/officeDocument/2006/relationships" ref="H29" r:id="rId25"/>
    <hyperlink xmlns:r="http://schemas.openxmlformats.org/officeDocument/2006/relationships" ref="H30" r:id="rId26"/>
    <hyperlink xmlns:r="http://schemas.openxmlformats.org/officeDocument/2006/relationships" ref="H31" r:id="rId27"/>
    <hyperlink xmlns:r="http://schemas.openxmlformats.org/officeDocument/2006/relationships" ref="H32" r:id="rId28"/>
    <hyperlink xmlns:r="http://schemas.openxmlformats.org/officeDocument/2006/relationships" ref="H33" r:id="rId29"/>
    <hyperlink xmlns:r="http://schemas.openxmlformats.org/officeDocument/2006/relationships" ref="H34" r:id="rId30"/>
    <hyperlink xmlns:r="http://schemas.openxmlformats.org/officeDocument/2006/relationships" ref="H35" r:id="rId31"/>
    <hyperlink xmlns:r="http://schemas.openxmlformats.org/officeDocument/2006/relationships" ref="H36" r:id="rId32"/>
    <hyperlink xmlns:r="http://schemas.openxmlformats.org/officeDocument/2006/relationships" ref="H37" r:id="rId33"/>
    <hyperlink xmlns:r="http://schemas.openxmlformats.org/officeDocument/2006/relationships" ref="H38" r:id="rId34"/>
    <hyperlink xmlns:r="http://schemas.openxmlformats.org/officeDocument/2006/relationships" ref="H39" r:id="rId35"/>
    <hyperlink xmlns:r="http://schemas.openxmlformats.org/officeDocument/2006/relationships" ref="H40" r:id="rId36"/>
    <hyperlink xmlns:r="http://schemas.openxmlformats.org/officeDocument/2006/relationships" ref="H41" r:id="rId37"/>
    <hyperlink xmlns:r="http://schemas.openxmlformats.org/officeDocument/2006/relationships" ref="H42" r:id="rId38"/>
    <hyperlink xmlns:r="http://schemas.openxmlformats.org/officeDocument/2006/relationships" ref="H43" r:id="rId39"/>
    <hyperlink xmlns:r="http://schemas.openxmlformats.org/officeDocument/2006/relationships" ref="H44" r:id="rId40"/>
    <hyperlink xmlns:r="http://schemas.openxmlformats.org/officeDocument/2006/relationships" ref="H45" r:id="rId41"/>
    <hyperlink xmlns:r="http://schemas.openxmlformats.org/officeDocument/2006/relationships" ref="H46" r:id="rId42"/>
    <hyperlink xmlns:r="http://schemas.openxmlformats.org/officeDocument/2006/relationships" ref="H47" r:id="rId43"/>
    <hyperlink xmlns:r="http://schemas.openxmlformats.org/officeDocument/2006/relationships" ref="H48" r:id="rId44"/>
    <hyperlink xmlns:r="http://schemas.openxmlformats.org/officeDocument/2006/relationships" ref="H49" r:id="rId45"/>
    <hyperlink xmlns:r="http://schemas.openxmlformats.org/officeDocument/2006/relationships" ref="H50" r:id="rId46"/>
    <hyperlink xmlns:r="http://schemas.openxmlformats.org/officeDocument/2006/relationships" ref="H51" r:id="rId47"/>
    <hyperlink xmlns:r="http://schemas.openxmlformats.org/officeDocument/2006/relationships" ref="H52" r:id="rId48"/>
    <hyperlink xmlns:r="http://schemas.openxmlformats.org/officeDocument/2006/relationships" ref="H53" r:id="rId49"/>
    <hyperlink xmlns:r="http://schemas.openxmlformats.org/officeDocument/2006/relationships" ref="H54" r:id="rId50"/>
    <hyperlink xmlns:r="http://schemas.openxmlformats.org/officeDocument/2006/relationships" ref="H55" r:id="rId51"/>
    <hyperlink xmlns:r="http://schemas.openxmlformats.org/officeDocument/2006/relationships" ref="H56" r:id="rId52"/>
    <hyperlink xmlns:r="http://schemas.openxmlformats.org/officeDocument/2006/relationships" ref="H57" r:id="rId53"/>
  </hyperlinks>
  <pageMargins left="0.75" right="0.75" top="1" bottom="1" header="0.5" footer="0.5"/>
  <pageSetup orientation="landscape" fitToHeight="0" fitToWidth="1"/>
</worksheet>
</file>

<file path=xl/worksheets/sheet8.xml><?xml version="1.0" encoding="utf-8"?>
<worksheet xmlns="http://schemas.openxmlformats.org/spreadsheetml/2006/main">
  <sheetPr>
    <tabColor rgb="000F766E"/>
    <outlinePr summaryBelow="1" summaryRight="1"/>
    <pageSetUpPr fitToPage="1"/>
  </sheetPr>
  <dimension ref="A1:G26"/>
  <sheetViews>
    <sheetView showGridLines="0" workbookViewId="0">
      <pane ySplit="4" topLeftCell="A5" activePane="bottomLeft" state="frozen"/>
      <selection pane="bottomLeft" activeCell="A1" sqref="A1"/>
    </sheetView>
  </sheetViews>
  <sheetFormatPr baseColWidth="8" defaultRowHeight="15"/>
  <cols>
    <col width="40" customWidth="1" min="1" max="1"/>
    <col width="24" customWidth="1" min="2" max="2"/>
    <col width="14" customWidth="1" min="3" max="3"/>
    <col width="30" customWidth="1" min="4" max="4"/>
    <col width="16" customWidth="1" min="5" max="5"/>
    <col width="38" customWidth="1" min="6" max="6"/>
    <col width="9" customWidth="1" min="7" max="7"/>
  </cols>
  <sheetData>
    <row r="1" ht="32" customHeight="1">
      <c r="A1" s="1" t="inlineStr">
        <is>
          <t>Benchmarks: what good looks like</t>
        </is>
      </c>
    </row>
    <row r="2" ht="30" customHeight="1">
      <c r="A2" s="2" t="inlineStr">
        <is>
          <t>Industry benchmarks from 2025 to 2026 studies. Column C holds the number used in formulas. Your figure sits in column E where we have one.</t>
        </is>
      </c>
    </row>
    <row r="4" ht="30" customHeight="1">
      <c r="A4" s="5" t="inlineStr">
        <is>
          <t>Metric</t>
        </is>
      </c>
      <c r="B4" s="5" t="inlineStr">
        <is>
          <t>Tier / scope</t>
        </is>
      </c>
      <c r="C4" s="5" t="inlineStr">
        <is>
          <t>Value (numeric)</t>
        </is>
      </c>
      <c r="D4" s="5" t="inlineStr">
        <is>
          <t>Value as published</t>
        </is>
      </c>
      <c r="E4" s="5" t="inlineStr">
        <is>
          <t>You (Q1 + Q2)</t>
        </is>
      </c>
      <c r="F4" s="5" t="inlineStr">
        <is>
          <t>Source</t>
        </is>
      </c>
      <c r="G4" s="5" t="inlineStr">
        <is>
          <t>Link</t>
        </is>
      </c>
    </row>
    <row r="5" ht="38" customHeight="1">
      <c r="A5" s="24" t="inlineStr">
        <is>
          <t>Median engagement rate per impression</t>
        </is>
      </c>
      <c r="B5" s="7" t="inlineStr">
        <is>
          <t>0 to 1,000 followers</t>
        </is>
      </c>
      <c r="C5" s="29" t="n">
        <v>0.0256</v>
      </c>
      <c r="D5" s="7" t="inlineStr">
        <is>
          <t>2.56%</t>
        </is>
      </c>
      <c r="E5" s="40">
        <f>'Weekly Data'!H33</f>
        <v/>
      </c>
      <c r="F5" s="7" t="inlineStr">
        <is>
          <t>AuthoredUp (372K posts, Sep 2025 to Feb 2026)</t>
        </is>
      </c>
      <c r="G5" s="47" t="inlineStr">
        <is>
          <t>Open</t>
        </is>
      </c>
    </row>
    <row r="6" ht="38" customHeight="1">
      <c r="A6" s="24" t="inlineStr">
        <is>
          <t>Median engagement rate per impression</t>
        </is>
      </c>
      <c r="B6" s="7" t="inlineStr">
        <is>
          <t>1,001 to 5,000 followers</t>
        </is>
      </c>
      <c r="C6" s="29" t="n">
        <v>0.0268</v>
      </c>
      <c r="D6" s="7" t="inlineStr">
        <is>
          <t>2.68%</t>
        </is>
      </c>
      <c r="E6" s="27" t="inlineStr"/>
      <c r="F6" s="7" t="inlineStr">
        <is>
          <t>AuthoredUp (372K posts, Sep 2025 to Feb 2026)</t>
        </is>
      </c>
      <c r="G6" s="47" t="inlineStr">
        <is>
          <t>Open</t>
        </is>
      </c>
    </row>
    <row r="7" ht="38" customHeight="1">
      <c r="A7" s="24" t="inlineStr">
        <is>
          <t>Median engagement rate per impression</t>
        </is>
      </c>
      <c r="B7" s="7" t="inlineStr">
        <is>
          <t>5,001 to 20,000 followers</t>
        </is>
      </c>
      <c r="C7" s="29" t="n">
        <v>0.0253</v>
      </c>
      <c r="D7" s="7" t="inlineStr">
        <is>
          <t>2.53%</t>
        </is>
      </c>
      <c r="E7" s="27" t="inlineStr"/>
      <c r="F7" s="7" t="inlineStr">
        <is>
          <t>AuthoredUp (372K posts, Sep 2025 to Feb 2026)</t>
        </is>
      </c>
      <c r="G7" s="47" t="inlineStr">
        <is>
          <t>Open</t>
        </is>
      </c>
    </row>
    <row r="8" ht="38" customHeight="1">
      <c r="A8" s="24" t="inlineStr">
        <is>
          <t>Median impressions per post</t>
        </is>
      </c>
      <c r="B8" s="7" t="inlineStr">
        <is>
          <t>0 to 1K followers</t>
        </is>
      </c>
      <c r="C8" s="25" t="n">
        <v>207</v>
      </c>
      <c r="D8" s="7" t="inlineStr">
        <is>
          <t>207</t>
        </is>
      </c>
      <c r="E8" s="39">
        <f>MEDIAN('Weekly Data'!$D$5:$D$32)</f>
        <v/>
      </c>
      <c r="F8" s="7" t="inlineStr">
        <is>
          <t>MagicPost June 2026 (22,724 posts)</t>
        </is>
      </c>
      <c r="G8" s="47" t="inlineStr">
        <is>
          <t>Open</t>
        </is>
      </c>
    </row>
    <row r="9" ht="38" customHeight="1">
      <c r="A9" s="24" t="inlineStr">
        <is>
          <t>Median impressions per post</t>
        </is>
      </c>
      <c r="B9" s="7" t="inlineStr">
        <is>
          <t>1K to 5K followers</t>
        </is>
      </c>
      <c r="C9" s="25" t="n">
        <v>388</v>
      </c>
      <c r="D9" s="7" t="inlineStr">
        <is>
          <t>388</t>
        </is>
      </c>
      <c r="E9" s="27" t="inlineStr"/>
      <c r="F9" s="7" t="inlineStr">
        <is>
          <t>MagicPost June 2026 (22,724 posts)</t>
        </is>
      </c>
      <c r="G9" s="47" t="inlineStr">
        <is>
          <t>Open</t>
        </is>
      </c>
    </row>
    <row r="10" ht="38" customHeight="1">
      <c r="A10" s="24" t="inlineStr">
        <is>
          <t>Median impressions per post</t>
        </is>
      </c>
      <c r="B10" s="7" t="inlineStr">
        <is>
          <t>5K to 10K followers</t>
        </is>
      </c>
      <c r="C10" s="25" t="n">
        <v>771</v>
      </c>
      <c r="D10" s="7" t="inlineStr">
        <is>
          <t>771</t>
        </is>
      </c>
      <c r="E10" s="27" t="inlineStr"/>
      <c r="F10" s="7" t="inlineStr">
        <is>
          <t>MagicPost June 2026 (22,724 posts)</t>
        </is>
      </c>
      <c r="G10" s="47" t="inlineStr">
        <is>
          <t>Open</t>
        </is>
      </c>
    </row>
    <row r="11" ht="38" customHeight="1">
      <c r="A11" s="24" t="inlineStr">
        <is>
          <t>Typical reach rate (impressions / followers)</t>
        </is>
      </c>
      <c r="B11" s="7" t="inlineStr">
        <is>
          <t>0 to 1K followers</t>
        </is>
      </c>
      <c r="C11" s="29" t="n">
        <v>0.31</v>
      </c>
      <c r="D11" s="7" t="inlineStr">
        <is>
          <t>31%</t>
        </is>
      </c>
      <c r="E11" s="27" t="inlineStr"/>
      <c r="F11" s="7" t="inlineStr">
        <is>
          <t>The Shield Index Feb 2026 (50,000 posts)</t>
        </is>
      </c>
      <c r="G11" s="47" t="inlineStr">
        <is>
          <t>Open</t>
        </is>
      </c>
    </row>
    <row r="12" ht="38" customHeight="1">
      <c r="A12" s="24" t="inlineStr">
        <is>
          <t>Typical reach rate (impressions / followers)</t>
        </is>
      </c>
      <c r="B12" s="7" t="inlineStr">
        <is>
          <t>100K+ followers</t>
        </is>
      </c>
      <c r="C12" s="29" t="n">
        <v>0.06</v>
      </c>
      <c r="D12" s="7" t="inlineStr">
        <is>
          <t>6%</t>
        </is>
      </c>
      <c r="E12" s="27" t="inlineStr"/>
      <c r="F12" s="7" t="inlineStr">
        <is>
          <t>The Shield Index Feb 2026 (50,000 posts)</t>
        </is>
      </c>
      <c r="G12" s="47" t="inlineStr">
        <is>
          <t>Open</t>
        </is>
      </c>
    </row>
    <row r="13" ht="38" customHeight="1">
      <c r="A13" s="24" t="inlineStr">
        <is>
          <t>Median engagement rate per follower</t>
        </is>
      </c>
      <c r="B13" s="7" t="inlineStr">
        <is>
          <t>1K to 10K followers</t>
        </is>
      </c>
      <c r="C13" s="29" t="n">
        <v>0.009299999999999999</v>
      </c>
      <c r="D13" s="7" t="inlineStr">
        <is>
          <t>0.93% (middle half 0.51% to 2.49%)</t>
        </is>
      </c>
      <c r="E13" s="27" t="inlineStr"/>
      <c r="F13" s="7" t="inlineStr">
        <is>
          <t>Favikon (499 creators, Sep 2026)</t>
        </is>
      </c>
      <c r="G13" s="47" t="inlineStr">
        <is>
          <t>Open</t>
        </is>
      </c>
    </row>
    <row r="14" ht="38" customHeight="1">
      <c r="A14" s="24" t="inlineStr">
        <is>
          <t>Median impressions per founder post / 90th percentile</t>
        </is>
      </c>
      <c r="B14" s="7" t="inlineStr">
        <is>
          <t>Founder personal profiles</t>
        </is>
      </c>
      <c r="C14" s="25" t="n">
        <v>502</v>
      </c>
      <c r="D14" s="7" t="inlineStr">
        <is>
          <t>502 / 3,334</t>
        </is>
      </c>
      <c r="E14" s="39">
        <f>MEDIAN('Weekly Data'!$D$5:$D$32)</f>
        <v/>
      </c>
      <c r="F14" s="7" t="inlineStr">
        <is>
          <t>RevBoss (1,202 posts, Jan to Aug 2026)</t>
        </is>
      </c>
      <c r="G14" s="47" t="inlineStr">
        <is>
          <t>Open</t>
        </is>
      </c>
    </row>
    <row r="15" ht="38" customHeight="1">
      <c r="A15" s="24" t="inlineStr">
        <is>
          <t>Average reach change Feb to Sep 2025</t>
        </is>
      </c>
      <c r="B15" s="7" t="inlineStr">
        <is>
          <t>All profiles</t>
        </is>
      </c>
      <c r="C15" s="29" t="n">
        <v>-0.47</v>
      </c>
      <c r="D15" s="7" t="inlineStr">
        <is>
          <t>-47% (engagement -39%, follower growth -42%)</t>
        </is>
      </c>
      <c r="E15" s="27" t="inlineStr"/>
      <c r="F15" s="7" t="inlineStr">
        <is>
          <t>Van der Blom Algorithm InSights Oct 2025</t>
        </is>
      </c>
      <c r="G15" s="47" t="inlineStr">
        <is>
          <t>Open</t>
        </is>
      </c>
    </row>
    <row r="16" ht="38" customHeight="1">
      <c r="A16" s="24" t="inlineStr">
        <is>
          <t>Engagement rate: document/carousel</t>
        </is>
      </c>
      <c r="B16" s="7" t="inlineStr">
        <is>
          <t>Company Pages, 2026</t>
        </is>
      </c>
      <c r="C16" s="29" t="n">
        <v>0.07000000000000001</v>
      </c>
      <c r="D16" s="7" t="inlineStr">
        <is>
          <t>7.0%</t>
        </is>
      </c>
      <c r="E16" s="27" t="inlineStr"/>
      <c r="F16" s="7" t="inlineStr">
        <is>
          <t>Socialinsider 2026</t>
        </is>
      </c>
      <c r="G16" s="47" t="inlineStr">
        <is>
          <t>Open</t>
        </is>
      </c>
    </row>
    <row r="17" ht="38" customHeight="1">
      <c r="A17" s="24" t="inlineStr">
        <is>
          <t>Engagement rate: video</t>
        </is>
      </c>
      <c r="B17" s="7" t="inlineStr">
        <is>
          <t>Company Pages, 2026</t>
        </is>
      </c>
      <c r="C17" s="29" t="n">
        <v>0.06</v>
      </c>
      <c r="D17" s="7" t="inlineStr">
        <is>
          <t>6.0%</t>
        </is>
      </c>
      <c r="E17" s="27" t="inlineStr"/>
      <c r="F17" s="7" t="inlineStr">
        <is>
          <t>Socialinsider 2026</t>
        </is>
      </c>
      <c r="G17" s="47" t="inlineStr">
        <is>
          <t>Open</t>
        </is>
      </c>
    </row>
    <row r="18" ht="38" customHeight="1">
      <c r="A18" s="24" t="inlineStr">
        <is>
          <t>Engagement rate: text only</t>
        </is>
      </c>
      <c r="B18" s="7" t="inlineStr">
        <is>
          <t>Company Pages, 2026</t>
        </is>
      </c>
      <c r="C18" s="29" t="n">
        <v>0.045</v>
      </c>
      <c r="D18" s="7" t="inlineStr">
        <is>
          <t>4.5%</t>
        </is>
      </c>
      <c r="E18" s="27" t="inlineStr"/>
      <c r="F18" s="7" t="inlineStr">
        <is>
          <t>Socialinsider 2026</t>
        </is>
      </c>
      <c r="G18" s="47" t="inlineStr">
        <is>
          <t>Open</t>
        </is>
      </c>
    </row>
    <row r="19" ht="38" customHeight="1">
      <c r="A19" s="24" t="inlineStr">
        <is>
          <t>Engagement rate: external link posts</t>
        </is>
      </c>
      <c r="B19" s="7" t="inlineStr">
        <is>
          <t>Company Pages, 2026</t>
        </is>
      </c>
      <c r="C19" s="29" t="n">
        <v>0.0325</v>
      </c>
      <c r="D19" s="7" t="inlineStr">
        <is>
          <t>3.25%</t>
        </is>
      </c>
      <c r="E19" s="27" t="inlineStr"/>
      <c r="F19" s="7" t="inlineStr">
        <is>
          <t>Socialinsider 2026</t>
        </is>
      </c>
      <c r="G19" s="47" t="inlineStr">
        <is>
          <t>Open</t>
        </is>
      </c>
    </row>
    <row r="20" ht="38" customHeight="1">
      <c r="A20" s="24" t="inlineStr">
        <is>
          <t>Reach change for posts with external links</t>
        </is>
      </c>
      <c r="B20" s="7" t="inlineStr">
        <is>
          <t>Personal and company, 2025</t>
        </is>
      </c>
      <c r="C20" s="29" t="n">
        <v>-0.42</v>
      </c>
      <c r="D20" s="7" t="inlineStr">
        <is>
          <t>-42% (vs -5% in 2023)</t>
        </is>
      </c>
      <c r="E20" s="27" t="inlineStr"/>
      <c r="F20" s="7" t="inlineStr">
        <is>
          <t>Ordinal (900K+ posts)</t>
        </is>
      </c>
      <c r="G20" s="47" t="inlineStr">
        <is>
          <t>Open</t>
        </is>
      </c>
    </row>
    <row r="21" ht="38" customHeight="1">
      <c r="A21" s="24" t="inlineStr">
        <is>
          <t>Extra impressions per post, 2 to 5 posts/week vs 1</t>
        </is>
      </c>
      <c r="B21" s="7" t="inlineStr">
        <is>
          <t>All tiers</t>
        </is>
      </c>
      <c r="C21" s="25" t="n">
        <v>1182</v>
      </c>
      <c r="D21" s="7" t="inlineStr">
        <is>
          <t>+1,182</t>
        </is>
      </c>
      <c r="E21" s="27" t="inlineStr"/>
      <c r="F21" s="7" t="inlineStr">
        <is>
          <t>Buffer (2M+ posts, 94K accounts)</t>
        </is>
      </c>
      <c r="G21" s="47" t="inlineStr">
        <is>
          <t>Open</t>
        </is>
      </c>
    </row>
    <row r="22" ht="38" customHeight="1">
      <c r="A22" s="24" t="inlineStr">
        <is>
          <t>YoY change in likes / comments / shares; overall engagement</t>
        </is>
      </c>
      <c r="B22" s="7" t="inlineStr">
        <is>
          <t>All accounts, 2026</t>
        </is>
      </c>
      <c r="C22" s="29" t="n">
        <v>0.14</v>
      </c>
      <c r="D22" s="7" t="inlineStr">
        <is>
          <t>-13% / -17% / -10%; +14%</t>
        </is>
      </c>
      <c r="E22" s="27" t="inlineStr"/>
      <c r="F22" s="7" t="inlineStr">
        <is>
          <t>Metricool 2026 (673,658 posts)</t>
        </is>
      </c>
      <c r="G22" s="47" t="inlineStr">
        <is>
          <t>Open</t>
        </is>
      </c>
    </row>
    <row r="23" ht="38" customHeight="1">
      <c r="A23" s="24" t="inlineStr">
        <is>
          <t>Share of long posts (250+ words) fully AI-generated</t>
        </is>
      </c>
      <c r="B23" s="7" t="inlineStr">
        <is>
          <t>LinkedIn, Apr to Jun 2026</t>
        </is>
      </c>
      <c r="C23" s="29" t="n">
        <v>0.41</v>
      </c>
      <c r="D23" s="7" t="inlineStr">
        <is>
          <t>41%</t>
        </is>
      </c>
      <c r="E23" s="27" t="inlineStr"/>
      <c r="F23" s="7" t="inlineStr">
        <is>
          <t>Pangram Labs (about 1M posts)</t>
        </is>
      </c>
      <c r="G23" s="47" t="inlineStr">
        <is>
          <t>Open</t>
        </is>
      </c>
    </row>
    <row r="24" ht="38" customHeight="1">
      <c r="A24" s="24" t="inlineStr">
        <is>
          <t>Optimal post length (characters)</t>
        </is>
      </c>
      <c r="B24" s="7" t="inlineStr">
        <is>
          <t>Typical creators</t>
        </is>
      </c>
      <c r="C24" s="27" t="n"/>
      <c r="D24" s="7" t="inlineStr">
        <is>
          <t>800 to 1,100 top cluster; 1,301 to 2,500 +27% vs under 400</t>
        </is>
      </c>
      <c r="E24" s="27" t="inlineStr"/>
      <c r="F24" s="7" t="inlineStr">
        <is>
          <t>AuthoredUp</t>
        </is>
      </c>
      <c r="G24" s="47" t="inlineStr">
        <is>
          <t>Open</t>
        </is>
      </c>
    </row>
    <row r="26">
      <c r="A26" s="45" t="inlineStr">
        <is>
          <t>Your follower count is not in any source we could reach, so compare against the 0 to 1K and 1K to 5K rows. Your 'You' figures are weekly totals, not per post, because LinkedIn's recap emails report by week.</t>
        </is>
      </c>
    </row>
  </sheetData>
  <mergeCells count="3">
    <mergeCell ref="A26:G26"/>
    <mergeCell ref="A2:G2"/>
    <mergeCell ref="A1:G1"/>
  </mergeCells>
  <hyperlinks>
    <hyperlink xmlns:r="http://schemas.openxmlformats.org/officeDocument/2006/relationships" ref="G5" r:id="rId1"/>
    <hyperlink xmlns:r="http://schemas.openxmlformats.org/officeDocument/2006/relationships" ref="G6" r:id="rId2"/>
    <hyperlink xmlns:r="http://schemas.openxmlformats.org/officeDocument/2006/relationships" ref="G7" r:id="rId3"/>
    <hyperlink xmlns:r="http://schemas.openxmlformats.org/officeDocument/2006/relationships" ref="G8" r:id="rId4"/>
    <hyperlink xmlns:r="http://schemas.openxmlformats.org/officeDocument/2006/relationships" ref="G9" r:id="rId5"/>
    <hyperlink xmlns:r="http://schemas.openxmlformats.org/officeDocument/2006/relationships" ref="G10" r:id="rId6"/>
    <hyperlink xmlns:r="http://schemas.openxmlformats.org/officeDocument/2006/relationships" ref="G11" r:id="rId7"/>
    <hyperlink xmlns:r="http://schemas.openxmlformats.org/officeDocument/2006/relationships" ref="G12" r:id="rId8"/>
    <hyperlink xmlns:r="http://schemas.openxmlformats.org/officeDocument/2006/relationships" ref="G13" r:id="rId9"/>
    <hyperlink xmlns:r="http://schemas.openxmlformats.org/officeDocument/2006/relationships" ref="G14" r:id="rId10"/>
    <hyperlink xmlns:r="http://schemas.openxmlformats.org/officeDocument/2006/relationships" ref="G15" r:id="rId11"/>
    <hyperlink xmlns:r="http://schemas.openxmlformats.org/officeDocument/2006/relationships" ref="G16" r:id="rId12"/>
    <hyperlink xmlns:r="http://schemas.openxmlformats.org/officeDocument/2006/relationships" ref="G17" r:id="rId13"/>
    <hyperlink xmlns:r="http://schemas.openxmlformats.org/officeDocument/2006/relationships" ref="G18" r:id="rId14"/>
    <hyperlink xmlns:r="http://schemas.openxmlformats.org/officeDocument/2006/relationships" ref="G19" r:id="rId15"/>
    <hyperlink xmlns:r="http://schemas.openxmlformats.org/officeDocument/2006/relationships" ref="G20" r:id="rId16"/>
    <hyperlink xmlns:r="http://schemas.openxmlformats.org/officeDocument/2006/relationships" ref="G21" r:id="rId17"/>
    <hyperlink xmlns:r="http://schemas.openxmlformats.org/officeDocument/2006/relationships" ref="G22" r:id="rId18"/>
    <hyperlink xmlns:r="http://schemas.openxmlformats.org/officeDocument/2006/relationships" ref="G23" r:id="rId19"/>
    <hyperlink xmlns:r="http://schemas.openxmlformats.org/officeDocument/2006/relationships" ref="G24" r:id="rId20"/>
  </hyperlinks>
  <pageMargins left="0.75" right="0.75" top="1" bottom="1" header="0.5" footer="0.5"/>
  <pageSetup orientation="landscape" fitToHeight="0" fitToWidth="1"/>
</worksheet>
</file>

<file path=xl/worksheets/sheet9.xml><?xml version="1.0" encoding="utf-8"?>
<worksheet xmlns="http://schemas.openxmlformats.org/spreadsheetml/2006/main">
  <sheetPr>
    <tabColor rgb="0070AD47"/>
    <outlinePr summaryBelow="1" summaryRight="1"/>
    <pageSetUpPr fitToPage="1"/>
  </sheetPr>
  <dimension ref="A1:I24"/>
  <sheetViews>
    <sheetView showGridLines="0" workbookViewId="0">
      <pane xSplit="4" ySplit="4" topLeftCell="E5" activePane="bottomRight" state="frozen"/>
      <selection pane="topRight"/>
      <selection pane="bottomLeft"/>
      <selection pane="bottomRight" activeCell="A1" sqref="A1"/>
    </sheetView>
  </sheetViews>
  <sheetFormatPr baseColWidth="8" defaultRowHeight="15"/>
  <cols>
    <col width="6" customWidth="1" min="1" max="1"/>
    <col width="7" customWidth="1" min="2" max="2"/>
    <col width="16" customWidth="1" min="3" max="3"/>
    <col width="40" customWidth="1" min="4" max="4"/>
    <col width="44" customWidth="1" min="5" max="5"/>
    <col width="30" customWidth="1" min="6" max="6"/>
    <col width="14" customWidth="1" min="7" max="7"/>
    <col width="13" customWidth="1" min="8" max="8"/>
    <col width="34" customWidth="1" min="9" max="9"/>
  </cols>
  <sheetData>
    <row r="1" ht="32" customHeight="1">
      <c r="A1" s="1" t="inlineStr">
        <is>
          <t>Action Plan: next 90 days (5 Oct to 31 Dec 2026)</t>
        </is>
      </c>
    </row>
    <row r="2" ht="30" customHeight="1">
      <c r="A2" s="2" t="inlineStr">
        <is>
          <t>18 actions in priority order. P1 = do this week. P2 = start this month. P3 = by December. Update the Status column as you go.</t>
        </is>
      </c>
    </row>
    <row r="4" ht="30" customHeight="1">
      <c r="A4" s="5" t="inlineStr">
        <is>
          <t>ID</t>
        </is>
      </c>
      <c r="B4" s="5" t="inlineStr">
        <is>
          <t>Priority</t>
        </is>
      </c>
      <c r="C4" s="5" t="inlineStr">
        <is>
          <t>Area</t>
        </is>
      </c>
      <c r="D4" s="5" t="inlineStr">
        <is>
          <t>Action</t>
        </is>
      </c>
      <c r="E4" s="5" t="inlineStr">
        <is>
          <t>How to do it</t>
        </is>
      </c>
      <c r="F4" s="5" t="inlineStr">
        <is>
          <t>Target / metric</t>
        </is>
      </c>
      <c r="G4" s="5" t="inlineStr">
        <is>
          <t>Deadline</t>
        </is>
      </c>
      <c r="H4" s="5" t="inlineStr">
        <is>
          <t>Status</t>
        </is>
      </c>
      <c r="I4" s="5" t="inlineStr">
        <is>
          <t>Evidence (see Research Insights)</t>
        </is>
      </c>
    </row>
    <row r="5" ht="60" customHeight="1">
      <c r="A5" s="46" t="inlineStr">
        <is>
          <t>A1</t>
        </is>
      </c>
      <c r="B5" s="27" t="inlineStr">
        <is>
          <t>P1</t>
        </is>
      </c>
      <c r="C5" s="27" t="inlineStr">
        <is>
          <t>Consistency</t>
        </is>
      </c>
      <c r="D5" s="24" t="inlineStr">
        <is>
          <t>Post 3 times a week, every week</t>
        </is>
      </c>
      <c r="E5" s="7" t="inlineStr">
        <is>
          <t>Tue, Wed, Thu. Batch-write on Sunday using the Content Calendar tab. Never skip two days in a row.</t>
        </is>
      </c>
      <c r="F5" s="7" t="inlineStr">
        <is>
          <t>36 posts by 31 Dec</t>
        </is>
      </c>
      <c r="G5" s="31" t="n">
        <v>46307</v>
      </c>
      <c r="H5" s="43" t="inlineStr">
        <is>
          <t>Not started</t>
        </is>
      </c>
      <c r="I5" s="7" t="inlineStr">
        <is>
          <t>Buffer: 2 to 5 posts a week adds about 1,182 impressions per post</t>
        </is>
      </c>
    </row>
    <row r="6" ht="60" customHeight="1">
      <c r="A6" s="46" t="inlineStr">
        <is>
          <t>A2</t>
        </is>
      </c>
      <c r="B6" s="27" t="inlineStr">
        <is>
          <t>P1</t>
        </is>
      </c>
      <c r="C6" s="27" t="inlineStr">
        <is>
          <t>Consistency</t>
        </is>
      </c>
      <c r="D6" s="24" t="inlineStr">
        <is>
          <t>Protect 60 minutes after each post</t>
        </is>
      </c>
      <c r="E6" s="7" t="inlineStr">
        <is>
          <t>Block the hour in your calendar. Reply to every comment with a full sentence.</t>
        </is>
      </c>
      <c r="F6" s="7" t="inlineStr">
        <is>
          <t>100% of comments replied to within 1 hour</t>
        </is>
      </c>
      <c r="G6" s="31" t="n">
        <v>46307</v>
      </c>
      <c r="H6" s="43" t="inlineStr">
        <is>
          <t>Not started</t>
        </is>
      </c>
      <c r="I6" s="7" t="inlineStr">
        <is>
          <t>About 70% of reach is decided in the first 60 to 90 minutes</t>
        </is>
      </c>
    </row>
    <row r="7" ht="60" customHeight="1">
      <c r="A7" s="46" t="inlineStr">
        <is>
          <t>A3</t>
        </is>
      </c>
      <c r="B7" s="27" t="inlineStr">
        <is>
          <t>P1</t>
        </is>
      </c>
      <c r="C7" s="27" t="inlineStr">
        <is>
          <t>Positioning</t>
        </is>
      </c>
      <c r="D7" s="24" t="inlineStr">
        <is>
          <t>Launch a named weekly series: 'Claude for Sales Ops'</t>
        </is>
      </c>
      <c r="E7" s="7" t="inlineStr">
        <is>
          <t>Every Tuesday: one real workflow (CRM clean-up, pipeline report, call notes to CRM). Show the before, the prompt, and the after with numbers.</t>
        </is>
      </c>
      <c r="F7" s="7" t="inlineStr">
        <is>
          <t>13 episodes; at least 3 above 388 impressions</t>
        </is>
      </c>
      <c r="G7" s="31" t="n">
        <v>46308</v>
      </c>
      <c r="H7" s="43" t="inlineStr">
        <is>
          <t>Not started</t>
        </is>
      </c>
      <c r="I7" s="7" t="inlineStr">
        <is>
          <t>Brand24: best Claude content is builds and workflow wins; LLM ranking rewards a consistent topic</t>
        </is>
      </c>
    </row>
    <row r="8" ht="60" customHeight="1">
      <c r="A8" s="46" t="inlineStr">
        <is>
          <t>A4</t>
        </is>
      </c>
      <c r="B8" s="27" t="inlineStr">
        <is>
          <t>P1</t>
        </is>
      </c>
      <c r="C8" s="27" t="inlineStr">
        <is>
          <t>Format</t>
        </is>
      </c>
      <c r="D8" s="24" t="inlineStr">
        <is>
          <t>Make carousels your main teaching format</t>
        </is>
      </c>
      <c r="E8" s="7" t="inlineStr">
        <is>
          <t>8 slides: hook, problem, 5 steps, result. One template in Canva. Turn each YouTube video into one carousel.</t>
        </is>
      </c>
      <c r="F8" s="7" t="inlineStr">
        <is>
          <t>1 carousel a week; engagement rate above 3.5%</t>
        </is>
      </c>
      <c r="G8" s="31" t="n">
        <v>46308</v>
      </c>
      <c r="H8" s="43" t="inlineStr">
        <is>
          <t>Not started</t>
        </is>
      </c>
      <c r="I8" s="7" t="inlineStr">
        <is>
          <t>Socialinsider: carousels 7.0% vs text 4.5%; Metricool: carousels top reach</t>
        </is>
      </c>
    </row>
    <row r="9" ht="60" customHeight="1">
      <c r="A9" s="46" t="inlineStr">
        <is>
          <t>A5</t>
        </is>
      </c>
      <c r="B9" s="27" t="inlineStr">
        <is>
          <t>P1</t>
        </is>
      </c>
      <c r="C9" s="27" t="inlineStr">
        <is>
          <t>Writing</t>
        </is>
      </c>
      <c r="D9" s="24" t="inlineStr">
        <is>
          <t>Write in your own voice, not AI voice</t>
        </is>
      </c>
      <c r="E9" s="7" t="inlineStr">
        <is>
          <t>Use Claude to draft and research, then rewrite. Run every post through your humanize-post skill. Add one personal detail per post.</t>
        </is>
      </c>
      <c r="F9" s="7" t="inlineStr">
        <is>
          <t>0 posts that read as AI-written</t>
        </is>
      </c>
      <c r="G9" s="31" t="n">
        <v>46307</v>
      </c>
      <c r="H9" s="43" t="inlineStr">
        <is>
          <t>Not started</t>
        </is>
      </c>
      <c r="I9" s="7" t="inlineStr">
        <is>
          <t>Pangram: 41% of long posts are AI-written; Originality: AI posts get 45% less engagement</t>
        </is>
      </c>
    </row>
    <row r="10" ht="60" customHeight="1">
      <c r="A10" s="46" t="inlineStr">
        <is>
          <t>A6</t>
        </is>
      </c>
      <c r="B10" s="27" t="inlineStr">
        <is>
          <t>P1</t>
        </is>
      </c>
      <c r="C10" s="27" t="inlineStr">
        <is>
          <t>Writing</t>
        </is>
      </c>
      <c r="D10" s="24" t="inlineStr">
        <is>
          <t>First line under 60 characters with a specific result</t>
        </is>
      </c>
      <c r="E10" s="7" t="inlineStr">
        <is>
          <t>Example: 'Claude cleaned 4,000 CRM records in 20 minutes.' Lead with the number.</t>
        </is>
      </c>
      <c r="F10" s="7" t="inlineStr">
        <is>
          <t>Every post</t>
        </is>
      </c>
      <c r="G10" s="31" t="n">
        <v>46307</v>
      </c>
      <c r="H10" s="43" t="inlineStr">
        <is>
          <t>Not started</t>
        </is>
      </c>
      <c r="I10" s="7" t="inlineStr">
        <is>
          <t>AuthoredUp: hooks under 60 characters predict conversations</t>
        </is>
      </c>
    </row>
    <row r="11" ht="60" customHeight="1">
      <c r="A11" s="46" t="inlineStr">
        <is>
          <t>A7</t>
        </is>
      </c>
      <c r="B11" s="27" t="inlineStr">
        <is>
          <t>P1</t>
        </is>
      </c>
      <c r="C11" s="27" t="inlineStr">
        <is>
          <t>Engagement</t>
        </is>
      </c>
      <c r="D11" s="24" t="inlineStr">
        <is>
          <t>End every post with one specific question</t>
        </is>
      </c>
      <c r="E11" s="7" t="inlineStr">
        <is>
          <t>Ask something only a practitioner can answer, for example 'Which CRM field causes your team the most rework?'</t>
        </is>
      </c>
      <c r="F11" s="7" t="inlineStr">
        <is>
          <t>Average 5+ comments per post</t>
        </is>
      </c>
      <c r="G11" s="31" t="n">
        <v>46307</v>
      </c>
      <c r="H11" s="43" t="inlineStr">
        <is>
          <t>Not started</t>
        </is>
      </c>
      <c r="I11" s="7" t="inlineStr">
        <is>
          <t>Comments of 15+ words weigh 2 to 2.5x more</t>
        </is>
      </c>
    </row>
    <row r="12" ht="60" customHeight="1">
      <c r="A12" s="46" t="inlineStr">
        <is>
          <t>A8</t>
        </is>
      </c>
      <c r="B12" s="27" t="inlineStr">
        <is>
          <t>P1</t>
        </is>
      </c>
      <c r="C12" s="27" t="inlineStr">
        <is>
          <t>Engagement</t>
        </is>
      </c>
      <c r="D12" s="24" t="inlineStr">
        <is>
          <t>Comment daily on 5 posts by your target audience</t>
        </is>
      </c>
      <c r="E12" s="7" t="inlineStr">
        <is>
          <t>15 to 20 minutes a day. Sales ops, RevOps, CRM and govtech leaders. 15+ words, add a fact or an example. No AI comment tools.</t>
        </is>
      </c>
      <c r="F12" s="7" t="inlineStr">
        <is>
          <t>25 quality comments a week</t>
        </is>
      </c>
      <c r="G12" s="31" t="n">
        <v>46307</v>
      </c>
      <c r="H12" s="43" t="inlineStr">
        <is>
          <t>Not started</t>
        </is>
      </c>
      <c r="I12" s="7" t="inlineStr">
        <is>
          <t>LinkedIn: weekly commenting can triple profile views; automated comments are now hidden</t>
        </is>
      </c>
    </row>
    <row r="13" ht="60" customHeight="1">
      <c r="A13" s="46" t="inlineStr">
        <is>
          <t>A9</t>
        </is>
      </c>
      <c r="B13" s="27" t="inlineStr">
        <is>
          <t>P2</t>
        </is>
      </c>
      <c r="C13" s="27" t="inlineStr">
        <is>
          <t>Audience</t>
        </is>
      </c>
      <c r="D13" s="24" t="inlineStr">
        <is>
          <t>Build a list of 50 target accounts to follow and engage</t>
        </is>
      </c>
      <c r="E13" s="7" t="inlineStr">
        <is>
          <t>30 sales ops / RevOps leaders, 10 govtech leaders, 10 Claude and AI creators. Ring the bell on 20 of them.</t>
        </is>
      </c>
      <c r="F13" s="7" t="inlineStr">
        <is>
          <t>List built; profile views from target industries rising</t>
        </is>
      </c>
      <c r="G13" s="31" t="n">
        <v>46314</v>
      </c>
      <c r="H13" s="43" t="inlineStr">
        <is>
          <t>Not started</t>
        </is>
      </c>
      <c r="I13" s="7" t="inlineStr">
        <is>
          <t>B2B Institute: 95% of buyers are out of market; stay visible</t>
        </is>
      </c>
    </row>
    <row r="14" ht="60" customHeight="1">
      <c r="A14" s="46" t="inlineStr">
        <is>
          <t>A10</t>
        </is>
      </c>
      <c r="B14" s="27" t="inlineStr">
        <is>
          <t>P1</t>
        </is>
      </c>
      <c r="C14" s="27" t="inlineStr">
        <is>
          <t>Profile</t>
        </is>
      </c>
      <c r="D14" s="24" t="inlineStr">
        <is>
          <t>Fix name and headline</t>
        </is>
      </c>
      <c r="E14" s="7" t="inlineStr">
        <is>
          <t>Name: 'Shrikant Ahire' and keep it. Headline idea: 'Sales Ops and CRM Consultant | Practical Claude workflows for sales and public sector teams'.</t>
        </is>
      </c>
      <c r="F14" s="7" t="inlineStr">
        <is>
          <t>Done; no further name changes</t>
        </is>
      </c>
      <c r="G14" s="31" t="n">
        <v>46305</v>
      </c>
      <c r="H14" s="43" t="inlineStr">
        <is>
          <t>Not started</t>
        </is>
      </c>
      <c r="I14" s="7" t="inlineStr">
        <is>
          <t>LLM ranking reads profile text; consistency aids search</t>
        </is>
      </c>
    </row>
    <row r="15" ht="60" customHeight="1">
      <c r="A15" s="46" t="inlineStr">
        <is>
          <t>A11</t>
        </is>
      </c>
      <c r="B15" s="27" t="inlineStr">
        <is>
          <t>P2</t>
        </is>
      </c>
      <c r="C15" s="27" t="inlineStr">
        <is>
          <t>Profile</t>
        </is>
      </c>
      <c r="D15" s="24" t="inlineStr">
        <is>
          <t>Update Featured, banner and custom button</t>
        </is>
      </c>
      <c r="E15" s="7" t="inlineStr">
        <is>
          <t>Featured: best carousel, your YouTube channel, newsletter. Banner states the offer. Custom button to YouTube or booking link.</t>
        </is>
      </c>
      <c r="F15" s="7" t="inlineStr">
        <is>
          <t>Profile views per week up 50%</t>
        </is>
      </c>
      <c r="G15" s="31" t="n">
        <v>46314</v>
      </c>
      <c r="H15" s="43" t="inlineStr">
        <is>
          <t>Not started</t>
        </is>
      </c>
      <c r="I15" s="7" t="inlineStr">
        <is>
          <t>LinkedIn Creator tools; photo profiles get 21x more views</t>
        </is>
      </c>
    </row>
    <row r="16" ht="60" customHeight="1">
      <c r="A16" s="46" t="inlineStr">
        <is>
          <t>A12</t>
        </is>
      </c>
      <c r="B16" s="27" t="inlineStr">
        <is>
          <t>P2</t>
        </is>
      </c>
      <c r="C16" s="27" t="inlineStr">
        <is>
          <t>Format</t>
        </is>
      </c>
      <c r="D16" s="24" t="inlineStr">
        <is>
          <t>Post one 30 to 90 second Claude demo video a week</t>
        </is>
      </c>
      <c r="E16" s="7" t="inlineStr">
        <is>
          <t>Screen recording with captions, cut from your YouTube videos. Native upload, vertical.</t>
        </is>
      </c>
      <c r="F16" s="7" t="inlineStr">
        <is>
          <t>1 video a week; track views and watch time</t>
        </is>
      </c>
      <c r="G16" s="31" t="n">
        <v>46321</v>
      </c>
      <c r="H16" s="43" t="inlineStr">
        <is>
          <t>Not started</t>
        </is>
      </c>
      <c r="I16" s="7" t="inlineStr">
        <is>
          <t>LinkedIn video viewing up 36%; van der Blom: video held up best</t>
        </is>
      </c>
    </row>
    <row r="17" ht="60" customHeight="1">
      <c r="A17" s="46" t="inlineStr">
        <is>
          <t>A13</t>
        </is>
      </c>
      <c r="B17" s="27" t="inlineStr">
        <is>
          <t>P2</t>
        </is>
      </c>
      <c r="C17" s="27" t="inlineStr">
        <is>
          <t>Links</t>
        </is>
      </c>
      <c r="D17" s="24" t="inlineStr">
        <is>
          <t>Keep links out of the post body</t>
        </is>
      </c>
      <c r="E17" s="7" t="inlineStr">
        <is>
          <t>Put YouTube and newsletter links in the first comment. Run a 4-week A/B test of link in post vs comment.</t>
        </is>
      </c>
      <c r="F17" s="7" t="inlineStr">
        <is>
          <t>Test result logged by 30 Nov</t>
        </is>
      </c>
      <c r="G17" s="31" t="n">
        <v>46356</v>
      </c>
      <c r="H17" s="43" t="inlineStr">
        <is>
          <t>Not started</t>
        </is>
      </c>
      <c r="I17" s="7" t="inlineStr">
        <is>
          <t>Ordinal: link posts get 26 to 42% less reach (evidence conflicts)</t>
        </is>
      </c>
    </row>
    <row r="18" ht="60" customHeight="1">
      <c r="A18" s="46" t="inlineStr">
        <is>
          <t>A14</t>
        </is>
      </c>
      <c r="B18" s="27" t="inlineStr">
        <is>
          <t>P2</t>
        </is>
      </c>
      <c r="C18" s="27" t="inlineStr">
        <is>
          <t>Content mix</t>
        </is>
      </c>
      <c r="D18" s="24" t="inlineStr">
        <is>
          <t>Set your monthly content mix</t>
        </is>
      </c>
      <c r="E18" s="7" t="inlineStr">
        <is>
          <t>40% Claude how-tos, 20% sales ops and public sector insight, 15% client stories, 15% personal, 10% polls and opinion.</t>
        </is>
      </c>
      <c r="F18" s="7" t="inlineStr">
        <is>
          <t>Mix tracked in Post Log 'Content pillar'</t>
        </is>
      </c>
      <c r="G18" s="31" t="n">
        <v>46326</v>
      </c>
      <c r="H18" s="43" t="inlineStr">
        <is>
          <t>Not started</t>
        </is>
      </c>
      <c r="I18" s="7" t="inlineStr">
        <is>
          <t>Van der Blom: how-to heavy mix performs best</t>
        </is>
      </c>
    </row>
    <row r="19" ht="60" customHeight="1">
      <c r="A19" s="46" t="inlineStr">
        <is>
          <t>A15</t>
        </is>
      </c>
      <c r="B19" s="27" t="inlineStr">
        <is>
          <t>P2</t>
        </is>
      </c>
      <c r="C19" s="27" t="inlineStr">
        <is>
          <t>Niche</t>
        </is>
      </c>
      <c r="D19" s="24" t="inlineStr">
        <is>
          <t>Own the public sector angle</t>
        </is>
      </c>
      <c r="E19" s="7" t="inlineStr">
        <is>
          <t>One post every two weeks on government platform modernisation with Claude. Very few creators cover it.</t>
        </is>
      </c>
      <c r="F19" s="7" t="inlineStr">
        <is>
          <t>6 public sector posts</t>
        </is>
      </c>
      <c r="G19" s="31" t="n">
        <v>46356</v>
      </c>
      <c r="H19" s="43" t="inlineStr">
        <is>
          <t>Not started</t>
        </is>
      </c>
      <c r="I19" s="7" t="inlineStr">
        <is>
          <t>Originality: human posts beat AI by 40% in government and public affairs</t>
        </is>
      </c>
    </row>
    <row r="20" ht="60" customHeight="1">
      <c r="A20" s="46" t="inlineStr">
        <is>
          <t>A16</t>
        </is>
      </c>
      <c r="B20" s="27" t="inlineStr">
        <is>
          <t>P1</t>
        </is>
      </c>
      <c r="C20" s="27" t="inlineStr">
        <is>
          <t>Measurement</t>
        </is>
      </c>
      <c r="D20" s="24" t="inlineStr">
        <is>
          <t>Export LinkedIn analytics monthly</t>
        </is>
      </c>
      <c r="E20" s="7" t="inlineStr">
        <is>
          <t>First Monday of each month: Analytics &gt; Content and Followers &gt; Export. Save to Drive. Paste into Post Log and Tracker.</t>
        </is>
      </c>
      <c r="F20" s="7" t="inlineStr">
        <is>
          <t>Exports for Oct, Nov, Dec saved</t>
        </is>
      </c>
      <c r="G20" s="31" t="n">
        <v>46300</v>
      </c>
      <c r="H20" s="43" t="inlineStr">
        <is>
          <t>Not started</t>
        </is>
      </c>
      <c r="I20" s="7" t="inlineStr">
        <is>
          <t>You cannot improve what you cannot see</t>
        </is>
      </c>
    </row>
    <row r="21" ht="60" customHeight="1">
      <c r="A21" s="46" t="inlineStr">
        <is>
          <t>A17</t>
        </is>
      </c>
      <c r="B21" s="27" t="inlineStr">
        <is>
          <t>P3</t>
        </is>
      </c>
      <c r="C21" s="27" t="inlineStr">
        <is>
          <t>Growth</t>
        </is>
      </c>
      <c r="D21" s="24" t="inlineStr">
        <is>
          <t>Launch a fortnightly LinkedIn newsletter</t>
        </is>
      </c>
      <c r="E21" s="7" t="inlineStr">
        <is>
          <t>Start after 6 consistent weeks. Name idea: 'Claude for Revenue Ops'. First edition invites all connections.</t>
        </is>
      </c>
      <c r="F21" s="7" t="inlineStr">
        <is>
          <t>Launched by 30 Nov; 200 subscribers by 31 Dec</t>
        </is>
      </c>
      <c r="G21" s="31" t="n">
        <v>46356</v>
      </c>
      <c r="H21" s="43" t="inlineStr">
        <is>
          <t>Not started</t>
        </is>
      </c>
      <c r="I21" s="7" t="inlineStr">
        <is>
          <t>LinkedIn: first edition auto-invites connections and followers</t>
        </is>
      </c>
    </row>
    <row r="22" ht="60" customHeight="1">
      <c r="A22" s="46" t="inlineStr">
        <is>
          <t>A18</t>
        </is>
      </c>
      <c r="B22" s="27" t="inlineStr">
        <is>
          <t>P3</t>
        </is>
      </c>
      <c r="C22" s="27" t="inlineStr">
        <is>
          <t>Pipeline</t>
        </is>
      </c>
      <c r="D22" s="24" t="inlineStr">
        <is>
          <t>Turn engagement into conversations</t>
        </is>
      </c>
      <c r="E22" s="7" t="inlineStr">
        <is>
          <t>When someone engages twice, send a short personal note with a relevant resource. No pitch.</t>
        </is>
      </c>
      <c r="F22" s="7" t="inlineStr">
        <is>
          <t>10 conversations; 2 discovery calls</t>
        </is>
      </c>
      <c r="G22" s="31" t="n">
        <v>46387</v>
      </c>
      <c r="H22" s="43" t="inlineStr">
        <is>
          <t>Not started</t>
        </is>
      </c>
      <c r="I22" s="7" t="inlineStr">
        <is>
          <t>Edelman-LinkedIn: 9 in 10 buyers more receptive to consistent publishers</t>
        </is>
      </c>
    </row>
    <row r="24">
      <c r="A24" s="54" t="inlineStr">
        <is>
          <t>Progress</t>
        </is>
      </c>
      <c r="C24" s="55">
        <f>COUNTIF(H5:H22,"Done")&amp;" of "&amp;ROWS(H5:H22)&amp;" actions done"</f>
        <v/>
      </c>
      <c r="D24" s="56">
        <f>COUNTIF(H5:H22,"Done")/ROWS(H5:H22)</f>
        <v/>
      </c>
    </row>
  </sheetData>
  <autoFilter ref="A4:I22"/>
  <mergeCells count="2">
    <mergeCell ref="A1:I1"/>
    <mergeCell ref="A2:I2"/>
  </mergeCells>
  <conditionalFormatting sqref="B5:B22">
    <cfRule type="cellIs" priority="1" operator="equal" dxfId="0">
      <formula>"P1"</formula>
    </cfRule>
    <cfRule type="cellIs" priority="2" operator="equal" dxfId="1">
      <formula>"P2"</formula>
    </cfRule>
    <cfRule type="cellIs" priority="3" operator="equal" dxfId="2">
      <formula>"P3"</formula>
    </cfRule>
  </conditionalFormatting>
  <conditionalFormatting sqref="H5:H22">
    <cfRule type="cellIs" priority="4" operator="equal" dxfId="2">
      <formula>"Done"</formula>
    </cfRule>
    <cfRule type="cellIs" priority="5" operator="equal" dxfId="6">
      <formula>"In progress"</formula>
    </cfRule>
    <cfRule type="cellIs" priority="6" operator="equal" dxfId="0">
      <formula>"Blocked"</formula>
    </cfRule>
  </conditionalFormatting>
  <dataValidations count="1">
    <dataValidation sqref="H5 H6 H7 H8 H9 H10 H11 H12 H13 H14 H15 H16 H17 H18 H19 H20 H21 H22" showDropDown="0" showInputMessage="0" showErrorMessage="0" allowBlank="1" type="list">
      <formula1>"Not started,In progress,Done,Blocked"</formula1>
    </dataValidation>
  </dataValidations>
  <pageMargins left="0.75" right="0.75" top="1" bottom="1" header="0.5" footer="0.5"/>
  <pageSetup orientation="landscape" fitToHeight="0" fitToWidth="1"/>
</worksheet>
</file>

<file path=xl/worksheets/sheet10.xml><?xml version="1.0" encoding="utf-8"?>
<worksheet xmlns="http://schemas.openxmlformats.org/spreadsheetml/2006/main">
  <sheetPr>
    <tabColor rgb="0070AD47"/>
    <outlinePr summaryBelow="1" summaryRight="1"/>
    <pageSetUpPr fitToPage="1"/>
  </sheetPr>
  <dimension ref="A1:H45"/>
  <sheetViews>
    <sheetView showGridLines="0" workbookViewId="0">
      <pane ySplit="4" topLeftCell="A5" activePane="bottomLeft" state="frozen"/>
      <selection pane="bottomLeft" activeCell="A1" sqref="A1"/>
    </sheetView>
  </sheetViews>
  <sheetFormatPr baseColWidth="8" defaultRowHeight="15"/>
  <cols>
    <col width="6" customWidth="1" min="1" max="1"/>
    <col width="12" customWidth="1" min="2" max="2"/>
    <col width="11" customWidth="1" min="3" max="3"/>
    <col width="13" customWidth="1" min="4" max="4"/>
    <col width="22" customWidth="1" min="5" max="5"/>
    <col width="42" customWidth="1" min="6" max="6"/>
    <col width="42" customWidth="1" min="7" max="7"/>
    <col width="13" customWidth="1" min="8" max="8"/>
  </cols>
  <sheetData>
    <row r="1" ht="32" customHeight="1">
      <c r="A1" s="1" t="inlineStr">
        <is>
          <t>Content Calendar: 13 weeks, 3 posts a week (Oct to Dec 2026)</t>
        </is>
      </c>
    </row>
    <row r="2" ht="30" customHeight="1">
      <c r="A2" s="2" t="inlineStr">
        <is>
          <t>Tuesday = 'Claude for Sales Ops' carousel. Wednesday = sales ops, CRM or public sector insight (text + image). Thursday = rotating: short video, personal story, poll or client result. Hooks are starting points; rewrite in your voice.</t>
        </is>
      </c>
    </row>
    <row r="4" ht="30" customHeight="1">
      <c r="A4" s="5" t="inlineStr">
        <is>
          <t>Week</t>
        </is>
      </c>
      <c r="B4" s="5" t="inlineStr">
        <is>
          <t>Date</t>
        </is>
      </c>
      <c r="C4" s="5" t="inlineStr">
        <is>
          <t>Day</t>
        </is>
      </c>
      <c r="D4" s="5" t="inlineStr">
        <is>
          <t>Format</t>
        </is>
      </c>
      <c r="E4" s="5" t="inlineStr">
        <is>
          <t>Pillar</t>
        </is>
      </c>
      <c r="F4" s="5" t="inlineStr">
        <is>
          <t>Topic</t>
        </is>
      </c>
      <c r="G4" s="5" t="inlineStr">
        <is>
          <t>Hook idea (under 60 characters)</t>
        </is>
      </c>
      <c r="H4" s="5" t="inlineStr">
        <is>
          <t>Done?</t>
        </is>
      </c>
    </row>
    <row r="5" ht="30" customHeight="1">
      <c r="A5" s="27" t="n">
        <v>1</v>
      </c>
      <c r="B5" s="57" t="n">
        <v>46301</v>
      </c>
      <c r="C5" s="27" t="inlineStr">
        <is>
          <t>Tue</t>
        </is>
      </c>
      <c r="D5" s="27" t="inlineStr">
        <is>
          <t>Carousel</t>
        </is>
      </c>
      <c r="E5" s="58" t="inlineStr">
        <is>
          <t>Claude how-to</t>
        </is>
      </c>
      <c r="F5" s="7" t="inlineStr">
        <is>
          <t>Clean duplicate CRM contacts with Claude</t>
        </is>
      </c>
      <c r="G5" s="7" t="inlineStr">
        <is>
          <t>Claude found 312 duplicate contacts in 4 minutes.</t>
        </is>
      </c>
      <c r="H5" s="43" t="inlineStr"/>
    </row>
    <row r="6" ht="30" customHeight="1">
      <c r="A6" s="27" t="n">
        <v>1</v>
      </c>
      <c r="B6" s="57" t="n">
        <v>46302</v>
      </c>
      <c r="C6" s="27" t="inlineStr">
        <is>
          <t>Wed</t>
        </is>
      </c>
      <c r="D6" s="27" t="inlineStr">
        <is>
          <t>Text + image</t>
        </is>
      </c>
      <c r="E6" s="59" t="inlineStr">
        <is>
          <t>Sales ops / CRM insight</t>
        </is>
      </c>
      <c r="F6" s="7" t="inlineStr">
        <is>
          <t>Why pipeline reports lie: the 3 fields reps skip</t>
        </is>
      </c>
      <c r="G6" s="7" t="inlineStr">
        <is>
          <t>Your pipeline report is wrong in 3 places.</t>
        </is>
      </c>
      <c r="H6" s="43" t="inlineStr"/>
    </row>
    <row r="7" ht="30" customHeight="1">
      <c r="A7" s="27" t="n">
        <v>1</v>
      </c>
      <c r="B7" s="57" t="n">
        <v>46303</v>
      </c>
      <c r="C7" s="27" t="inlineStr">
        <is>
          <t>Thu</t>
        </is>
      </c>
      <c r="D7" s="27" t="inlineStr">
        <is>
          <t>Personal</t>
        </is>
      </c>
      <c r="E7" s="60" t="inlineStr">
        <is>
          <t>Personal milestone</t>
        </is>
      </c>
      <c r="F7" s="7" t="inlineStr">
        <is>
          <t>7 months at Bramasol: what changed in how I work with AI</t>
        </is>
      </c>
      <c r="G7" s="7" t="inlineStr">
        <is>
          <t>Seven months in. Here is what Claude changed.</t>
        </is>
      </c>
      <c r="H7" s="43" t="inlineStr"/>
    </row>
    <row r="8" ht="30" customHeight="1">
      <c r="A8" s="61" t="n">
        <v>2</v>
      </c>
      <c r="B8" s="62" t="n">
        <v>46308</v>
      </c>
      <c r="C8" s="61" t="inlineStr">
        <is>
          <t>Tue</t>
        </is>
      </c>
      <c r="D8" s="61" t="inlineStr">
        <is>
          <t>Carousel</t>
        </is>
      </c>
      <c r="E8" s="58" t="inlineStr">
        <is>
          <t>Claude how-to</t>
        </is>
      </c>
      <c r="F8" s="63" t="inlineStr">
        <is>
          <t>Turn messy call notes into clean CRM updates</t>
        </is>
      </c>
      <c r="G8" s="63" t="inlineStr">
        <is>
          <t>Call notes to CRM in 90 seconds.</t>
        </is>
      </c>
      <c r="H8" s="43" t="inlineStr"/>
    </row>
    <row r="9" ht="30" customHeight="1">
      <c r="A9" s="61" t="n">
        <v>2</v>
      </c>
      <c r="B9" s="62" t="n">
        <v>46309</v>
      </c>
      <c r="C9" s="61" t="inlineStr">
        <is>
          <t>Wed</t>
        </is>
      </c>
      <c r="D9" s="61" t="inlineStr">
        <is>
          <t>Text + image</t>
        </is>
      </c>
      <c r="E9" s="64" t="inlineStr">
        <is>
          <t>Public sector</t>
        </is>
      </c>
      <c r="F9" s="63" t="inlineStr">
        <is>
          <t>What government platforms get wrong about data entry</t>
        </is>
      </c>
      <c r="G9" s="63" t="inlineStr">
        <is>
          <t>Government forms create bad data by design.</t>
        </is>
      </c>
      <c r="H9" s="43" t="inlineStr"/>
    </row>
    <row r="10" ht="30" customHeight="1">
      <c r="A10" s="61" t="n">
        <v>2</v>
      </c>
      <c r="B10" s="62" t="n">
        <v>46310</v>
      </c>
      <c r="C10" s="61" t="inlineStr">
        <is>
          <t>Thu</t>
        </is>
      </c>
      <c r="D10" s="61" t="inlineStr">
        <is>
          <t>Poll</t>
        </is>
      </c>
      <c r="E10" s="65" t="inlineStr">
        <is>
          <t>Opinion</t>
        </is>
      </c>
      <c r="F10" s="63" t="inlineStr">
        <is>
          <t>Which Claude workflow should I build next?</t>
        </is>
      </c>
      <c r="G10" s="63" t="inlineStr">
        <is>
          <t>Pick the next Claude workflow I build.</t>
        </is>
      </c>
      <c r="H10" s="43" t="inlineStr"/>
    </row>
    <row r="11" ht="30" customHeight="1">
      <c r="A11" s="27" t="n">
        <v>3</v>
      </c>
      <c r="B11" s="57" t="n">
        <v>46315</v>
      </c>
      <c r="C11" s="27" t="inlineStr">
        <is>
          <t>Tue</t>
        </is>
      </c>
      <c r="D11" s="27" t="inlineStr">
        <is>
          <t>Carousel</t>
        </is>
      </c>
      <c r="E11" s="58" t="inlineStr">
        <is>
          <t>Claude how-to</t>
        </is>
      </c>
      <c r="F11" s="7" t="inlineStr">
        <is>
          <t>Weekly pipeline summary for your VP, with Claude</t>
        </is>
      </c>
      <c r="G11" s="7" t="inlineStr">
        <is>
          <t>My VP's Monday report now takes 6 minutes.</t>
        </is>
      </c>
      <c r="H11" s="43" t="inlineStr"/>
    </row>
    <row r="12" ht="30" customHeight="1">
      <c r="A12" s="27" t="n">
        <v>3</v>
      </c>
      <c r="B12" s="57" t="n">
        <v>46316</v>
      </c>
      <c r="C12" s="27" t="inlineStr">
        <is>
          <t>Wed</t>
        </is>
      </c>
      <c r="D12" s="27" t="inlineStr">
        <is>
          <t>Text + image</t>
        </is>
      </c>
      <c r="E12" s="59" t="inlineStr">
        <is>
          <t>Sales ops / CRM insight</t>
        </is>
      </c>
      <c r="F12" s="7" t="inlineStr">
        <is>
          <t>The real cost of a dirty CRM (with numbers)</t>
        </is>
      </c>
      <c r="G12" s="7" t="inlineStr">
        <is>
          <t>Bad CRM data cost one team 11 hours a week.</t>
        </is>
      </c>
      <c r="H12" s="43" t="inlineStr"/>
    </row>
    <row r="13" ht="30" customHeight="1">
      <c r="A13" s="27" t="n">
        <v>3</v>
      </c>
      <c r="B13" s="57" t="n">
        <v>46317</v>
      </c>
      <c r="C13" s="27" t="inlineStr">
        <is>
          <t>Thu</t>
        </is>
      </c>
      <c r="D13" s="27" t="inlineStr">
        <is>
          <t>Video</t>
        </is>
      </c>
      <c r="E13" s="58" t="inlineStr">
        <is>
          <t>Claude how-to</t>
        </is>
      </c>
      <c r="F13" s="7" t="inlineStr">
        <is>
          <t>60-second demo: Claude reads a CRM export</t>
        </is>
      </c>
      <c r="G13" s="7" t="inlineStr">
        <is>
          <t>Watch Claude audit a CRM export live.</t>
        </is>
      </c>
      <c r="H13" s="43" t="inlineStr"/>
    </row>
    <row r="14" ht="30" customHeight="1">
      <c r="A14" s="61" t="n">
        <v>4</v>
      </c>
      <c r="B14" s="62" t="n">
        <v>46322</v>
      </c>
      <c r="C14" s="61" t="inlineStr">
        <is>
          <t>Tue</t>
        </is>
      </c>
      <c r="D14" s="61" t="inlineStr">
        <is>
          <t>Carousel</t>
        </is>
      </c>
      <c r="E14" s="58" t="inlineStr">
        <is>
          <t>Claude how-to</t>
        </is>
      </c>
      <c r="F14" s="63" t="inlineStr">
        <is>
          <t>Poll result: build the workflow your audience chose</t>
        </is>
      </c>
      <c r="G14" s="63" t="inlineStr">
        <is>
          <t>You voted. I built it.</t>
        </is>
      </c>
      <c r="H14" s="43" t="inlineStr"/>
    </row>
    <row r="15" ht="30" customHeight="1">
      <c r="A15" s="61" t="n">
        <v>4</v>
      </c>
      <c r="B15" s="62" t="n">
        <v>46323</v>
      </c>
      <c r="C15" s="61" t="inlineStr">
        <is>
          <t>Wed</t>
        </is>
      </c>
      <c r="D15" s="61" t="inlineStr">
        <is>
          <t>Text + image</t>
        </is>
      </c>
      <c r="E15" s="42" t="inlineStr">
        <is>
          <t>Client story</t>
        </is>
      </c>
      <c r="F15" s="63" t="inlineStr">
        <is>
          <t>Before and after: one client's lead routing</t>
        </is>
      </c>
      <c r="G15" s="63" t="inlineStr">
        <is>
          <t>Lead routing went from 2 days to 2 hours.</t>
        </is>
      </c>
      <c r="H15" s="43" t="inlineStr"/>
    </row>
    <row r="16" ht="30" customHeight="1">
      <c r="A16" s="61" t="n">
        <v>4</v>
      </c>
      <c r="B16" s="62" t="n">
        <v>46324</v>
      </c>
      <c r="C16" s="61" t="inlineStr">
        <is>
          <t>Thu</t>
        </is>
      </c>
      <c r="D16" s="61" t="inlineStr">
        <is>
          <t>Personal</t>
        </is>
      </c>
      <c r="E16" s="60" t="inlineStr">
        <is>
          <t>Personal milestone</t>
        </is>
      </c>
      <c r="F16" s="63" t="inlineStr">
        <is>
          <t>What psychology taught me about sales data</t>
        </is>
      </c>
      <c r="G16" s="63" t="inlineStr">
        <is>
          <t>Psychology explains why reps skip CRM fields.</t>
        </is>
      </c>
      <c r="H16" s="43" t="inlineStr"/>
    </row>
    <row r="17" ht="30" customHeight="1">
      <c r="A17" s="27" t="n">
        <v>5</v>
      </c>
      <c r="B17" s="57" t="n">
        <v>46329</v>
      </c>
      <c r="C17" s="27" t="inlineStr">
        <is>
          <t>Tue</t>
        </is>
      </c>
      <c r="D17" s="27" t="inlineStr">
        <is>
          <t>Carousel</t>
        </is>
      </c>
      <c r="E17" s="58" t="inlineStr">
        <is>
          <t>Claude how-to</t>
        </is>
      </c>
      <c r="F17" s="7" t="inlineStr">
        <is>
          <t>Write sales enablement one-pagers with Claude</t>
        </is>
      </c>
      <c r="G17" s="7" t="inlineStr">
        <is>
          <t>One product sheet. Three buyer versions.</t>
        </is>
      </c>
      <c r="H17" s="43" t="inlineStr"/>
    </row>
    <row r="18" ht="30" customHeight="1">
      <c r="A18" s="27" t="n">
        <v>5</v>
      </c>
      <c r="B18" s="57" t="n">
        <v>46330</v>
      </c>
      <c r="C18" s="27" t="inlineStr">
        <is>
          <t>Wed</t>
        </is>
      </c>
      <c r="D18" s="27" t="inlineStr">
        <is>
          <t>Text + image</t>
        </is>
      </c>
      <c r="E18" s="64" t="inlineStr">
        <is>
          <t>Public sector</t>
        </is>
      </c>
      <c r="F18" s="7" t="inlineStr">
        <is>
          <t>Modernising a legacy government portal: lessons</t>
        </is>
      </c>
      <c r="G18" s="7" t="inlineStr">
        <is>
          <t>Legacy portals fail at step one: the data.</t>
        </is>
      </c>
      <c r="H18" s="43" t="inlineStr"/>
    </row>
    <row r="19" ht="30" customHeight="1">
      <c r="A19" s="27" t="n">
        <v>5</v>
      </c>
      <c r="B19" s="57" t="n">
        <v>46331</v>
      </c>
      <c r="C19" s="27" t="inlineStr">
        <is>
          <t>Thu</t>
        </is>
      </c>
      <c r="D19" s="27" t="inlineStr">
        <is>
          <t>Video</t>
        </is>
      </c>
      <c r="E19" s="58" t="inlineStr">
        <is>
          <t>Claude how-to</t>
        </is>
      </c>
      <c r="F19" s="7" t="inlineStr">
        <is>
          <t>Claude Code builds a simple sales dashboard</t>
        </is>
      </c>
      <c r="G19" s="7" t="inlineStr">
        <is>
          <t>Claude Code built this dashboard in 20 minutes.</t>
        </is>
      </c>
      <c r="H19" s="43" t="inlineStr"/>
    </row>
    <row r="20" ht="30" customHeight="1">
      <c r="A20" s="61" t="n">
        <v>6</v>
      </c>
      <c r="B20" s="62" t="n">
        <v>46336</v>
      </c>
      <c r="C20" s="61" t="inlineStr">
        <is>
          <t>Tue</t>
        </is>
      </c>
      <c r="D20" s="61" t="inlineStr">
        <is>
          <t>Carousel</t>
        </is>
      </c>
      <c r="E20" s="58" t="inlineStr">
        <is>
          <t>Claude how-to</t>
        </is>
      </c>
      <c r="F20" s="63" t="inlineStr">
        <is>
          <t>Prompt templates for sales ops (save this)</t>
        </is>
      </c>
      <c r="G20" s="63" t="inlineStr">
        <is>
          <t>Seven Claude prompts I use every week.</t>
        </is>
      </c>
      <c r="H20" s="43" t="inlineStr"/>
    </row>
    <row r="21" ht="30" customHeight="1">
      <c r="A21" s="61" t="n">
        <v>6</v>
      </c>
      <c r="B21" s="62" t="n">
        <v>46337</v>
      </c>
      <c r="C21" s="61" t="inlineStr">
        <is>
          <t>Wed</t>
        </is>
      </c>
      <c r="D21" s="61" t="inlineStr">
        <is>
          <t>Text + image</t>
        </is>
      </c>
      <c r="E21" s="59" t="inlineStr">
        <is>
          <t>Sales ops / CRM insight</t>
        </is>
      </c>
      <c r="F21" s="63" t="inlineStr">
        <is>
          <t>Forecast accuracy: 4 questions to ask every Friday</t>
        </is>
      </c>
      <c r="G21" s="63" t="inlineStr">
        <is>
          <t>Four questions that fix a weak forecast.</t>
        </is>
      </c>
      <c r="H21" s="43" t="inlineStr"/>
    </row>
    <row r="22" ht="30" customHeight="1">
      <c r="A22" s="61" t="n">
        <v>6</v>
      </c>
      <c r="B22" s="62" t="n">
        <v>46338</v>
      </c>
      <c r="C22" s="61" t="inlineStr">
        <is>
          <t>Thu</t>
        </is>
      </c>
      <c r="D22" s="61" t="inlineStr">
        <is>
          <t>Poll</t>
        </is>
      </c>
      <c r="E22" s="65" t="inlineStr">
        <is>
          <t>Opinion</t>
        </is>
      </c>
      <c r="F22" s="63" t="inlineStr">
        <is>
          <t>Biggest blocker to using AI in your sales team?</t>
        </is>
      </c>
      <c r="G22" s="63" t="inlineStr">
        <is>
          <t>What stops your team using AI?</t>
        </is>
      </c>
      <c r="H22" s="43" t="inlineStr"/>
    </row>
    <row r="23" ht="30" customHeight="1">
      <c r="A23" s="27" t="n">
        <v>7</v>
      </c>
      <c r="B23" s="57" t="n">
        <v>46343</v>
      </c>
      <c r="C23" s="27" t="inlineStr">
        <is>
          <t>Tue</t>
        </is>
      </c>
      <c r="D23" s="27" t="inlineStr">
        <is>
          <t>Carousel</t>
        </is>
      </c>
      <c r="E23" s="58" t="inlineStr">
        <is>
          <t>Claude how-to</t>
        </is>
      </c>
      <c r="F23" s="7" t="inlineStr">
        <is>
          <t>Win/loss analysis from CRM notes with Claude</t>
        </is>
      </c>
      <c r="G23" s="7" t="inlineStr">
        <is>
          <t>Claude read 200 lost deals. Here's why we lost.</t>
        </is>
      </c>
      <c r="H23" s="43" t="inlineStr"/>
    </row>
    <row r="24" ht="30" customHeight="1">
      <c r="A24" s="27" t="n">
        <v>7</v>
      </c>
      <c r="B24" s="57" t="n">
        <v>46344</v>
      </c>
      <c r="C24" s="27" t="inlineStr">
        <is>
          <t>Wed</t>
        </is>
      </c>
      <c r="D24" s="27" t="inlineStr">
        <is>
          <t>Text + image</t>
        </is>
      </c>
      <c r="E24" s="42" t="inlineStr">
        <is>
          <t>Client story</t>
        </is>
      </c>
      <c r="F24" s="7" t="inlineStr">
        <is>
          <t>A CRM migration checklist that saved weeks</t>
        </is>
      </c>
      <c r="G24" s="7" t="inlineStr">
        <is>
          <t>This checklist saved a CRM migration.</t>
        </is>
      </c>
      <c r="H24" s="43" t="inlineStr"/>
    </row>
    <row r="25" ht="30" customHeight="1">
      <c r="A25" s="27" t="n">
        <v>7</v>
      </c>
      <c r="B25" s="57" t="n">
        <v>46345</v>
      </c>
      <c r="C25" s="27" t="inlineStr">
        <is>
          <t>Thu</t>
        </is>
      </c>
      <c r="D25" s="27" t="inlineStr">
        <is>
          <t>Video</t>
        </is>
      </c>
      <c r="E25" s="58" t="inlineStr">
        <is>
          <t>Claude how-to</t>
        </is>
      </c>
      <c r="F25" s="7" t="inlineStr">
        <is>
          <t>Short demo: Claude drafts follow-up emails from notes</t>
        </is>
      </c>
      <c r="G25" s="7" t="inlineStr">
        <is>
          <t>Follow-up emails written from call notes.</t>
        </is>
      </c>
      <c r="H25" s="43" t="inlineStr"/>
    </row>
    <row r="26" ht="30" customHeight="1">
      <c r="A26" s="61" t="n">
        <v>8</v>
      </c>
      <c r="B26" s="62" t="n">
        <v>46350</v>
      </c>
      <c r="C26" s="61" t="inlineStr">
        <is>
          <t>Tue</t>
        </is>
      </c>
      <c r="D26" s="61" t="inlineStr">
        <is>
          <t>Carousel</t>
        </is>
      </c>
      <c r="E26" s="58" t="inlineStr">
        <is>
          <t>Claude how-to</t>
        </is>
      </c>
      <c r="F26" s="63" t="inlineStr">
        <is>
          <t>Lead scoring rules: let Claude find the pattern</t>
        </is>
      </c>
      <c r="G26" s="63" t="inlineStr">
        <is>
          <t>Claude found our real lead score signal.</t>
        </is>
      </c>
      <c r="H26" s="43" t="inlineStr"/>
    </row>
    <row r="27" ht="30" customHeight="1">
      <c r="A27" s="61" t="n">
        <v>8</v>
      </c>
      <c r="B27" s="62" t="n">
        <v>46351</v>
      </c>
      <c r="C27" s="61" t="inlineStr">
        <is>
          <t>Wed</t>
        </is>
      </c>
      <c r="D27" s="61" t="inlineStr">
        <is>
          <t>Text + image</t>
        </is>
      </c>
      <c r="E27" s="64" t="inlineStr">
        <is>
          <t>Public sector</t>
        </is>
      </c>
      <c r="F27" s="63" t="inlineStr">
        <is>
          <t>Using AI safely with government data: 5 rules</t>
        </is>
      </c>
      <c r="G27" s="63" t="inlineStr">
        <is>
          <t>Five rules before AI touches public data.</t>
        </is>
      </c>
      <c r="H27" s="43" t="inlineStr"/>
    </row>
    <row r="28" ht="30" customHeight="1">
      <c r="A28" s="61" t="n">
        <v>8</v>
      </c>
      <c r="B28" s="62" t="n">
        <v>46352</v>
      </c>
      <c r="C28" s="61" t="inlineStr">
        <is>
          <t>Thu</t>
        </is>
      </c>
      <c r="D28" s="61" t="inlineStr">
        <is>
          <t>Personal</t>
        </is>
      </c>
      <c r="E28" s="60" t="inlineStr">
        <is>
          <t>Personal milestone</t>
        </is>
      </c>
      <c r="F28" s="63" t="inlineStr">
        <is>
          <t>Halfway through the series: what worked, what didn't</t>
        </is>
      </c>
      <c r="G28" s="63" t="inlineStr">
        <is>
          <t>Eight weeks of posting. My real numbers.</t>
        </is>
      </c>
      <c r="H28" s="43" t="inlineStr"/>
    </row>
    <row r="29" ht="30" customHeight="1">
      <c r="A29" s="27" t="n">
        <v>9</v>
      </c>
      <c r="B29" s="57" t="n">
        <v>46357</v>
      </c>
      <c r="C29" s="27" t="inlineStr">
        <is>
          <t>Tue</t>
        </is>
      </c>
      <c r="D29" s="27" t="inlineStr">
        <is>
          <t>Carousel</t>
        </is>
      </c>
      <c r="E29" s="58" t="inlineStr">
        <is>
          <t>Claude how-to</t>
        </is>
      </c>
      <c r="F29" s="7" t="inlineStr">
        <is>
          <t>Territory planning with Claude in one afternoon</t>
        </is>
      </c>
      <c r="G29" s="7" t="inlineStr">
        <is>
          <t>Territory plan done in one afternoon.</t>
        </is>
      </c>
      <c r="H29" s="43" t="inlineStr"/>
    </row>
    <row r="30" ht="30" customHeight="1">
      <c r="A30" s="27" t="n">
        <v>9</v>
      </c>
      <c r="B30" s="57" t="n">
        <v>46358</v>
      </c>
      <c r="C30" s="27" t="inlineStr">
        <is>
          <t>Wed</t>
        </is>
      </c>
      <c r="D30" s="27" t="inlineStr">
        <is>
          <t>Text + image</t>
        </is>
      </c>
      <c r="E30" s="59" t="inlineStr">
        <is>
          <t>Sales ops / CRM insight</t>
        </is>
      </c>
      <c r="F30" s="7" t="inlineStr">
        <is>
          <t>Why your sales team ignores the dashboard</t>
        </is>
      </c>
      <c r="G30" s="7" t="inlineStr">
        <is>
          <t>Nobody opens your sales dashboard. Here's why.</t>
        </is>
      </c>
      <c r="H30" s="43" t="inlineStr"/>
    </row>
    <row r="31" ht="30" customHeight="1">
      <c r="A31" s="27" t="n">
        <v>9</v>
      </c>
      <c r="B31" s="57" t="n">
        <v>46359</v>
      </c>
      <c r="C31" s="27" t="inlineStr">
        <is>
          <t>Thu</t>
        </is>
      </c>
      <c r="D31" s="27" t="inlineStr">
        <is>
          <t>Video</t>
        </is>
      </c>
      <c r="E31" s="58" t="inlineStr">
        <is>
          <t>Claude how-to</t>
        </is>
      </c>
      <c r="F31" s="7" t="inlineStr">
        <is>
          <t>Demo: Claude turns a spreadsheet into insights</t>
        </is>
      </c>
      <c r="G31" s="7" t="inlineStr">
        <is>
          <t>One spreadsheet. Five insights. Two minutes.</t>
        </is>
      </c>
      <c r="H31" s="43" t="inlineStr"/>
    </row>
    <row r="32" ht="30" customHeight="1">
      <c r="A32" s="61" t="n">
        <v>10</v>
      </c>
      <c r="B32" s="62" t="n">
        <v>46364</v>
      </c>
      <c r="C32" s="61" t="inlineStr">
        <is>
          <t>Tue</t>
        </is>
      </c>
      <c r="D32" s="61" t="inlineStr">
        <is>
          <t>Carousel</t>
        </is>
      </c>
      <c r="E32" s="58" t="inlineStr">
        <is>
          <t>Claude how-to</t>
        </is>
      </c>
      <c r="F32" s="63" t="inlineStr">
        <is>
          <t>Quarter-end CRM hygiene sprint with Claude</t>
        </is>
      </c>
      <c r="G32" s="63" t="inlineStr">
        <is>
          <t>Quarter-end CRM clean-up in one hour.</t>
        </is>
      </c>
      <c r="H32" s="43" t="inlineStr"/>
    </row>
    <row r="33" ht="30" customHeight="1">
      <c r="A33" s="61" t="n">
        <v>10</v>
      </c>
      <c r="B33" s="62" t="n">
        <v>46365</v>
      </c>
      <c r="C33" s="61" t="inlineStr">
        <is>
          <t>Wed</t>
        </is>
      </c>
      <c r="D33" s="61" t="inlineStr">
        <is>
          <t>Text + image</t>
        </is>
      </c>
      <c r="E33" s="42" t="inlineStr">
        <is>
          <t>Client story</t>
        </is>
      </c>
      <c r="F33" s="63" t="inlineStr">
        <is>
          <t>What I learned building a sales enablement plan</t>
        </is>
      </c>
      <c r="G33" s="63" t="inlineStr">
        <is>
          <t>A sales enablement plan that reps used.</t>
        </is>
      </c>
      <c r="H33" s="43" t="inlineStr"/>
    </row>
    <row r="34" ht="30" customHeight="1">
      <c r="A34" s="61" t="n">
        <v>10</v>
      </c>
      <c r="B34" s="62" t="n">
        <v>46366</v>
      </c>
      <c r="C34" s="61" t="inlineStr">
        <is>
          <t>Thu</t>
        </is>
      </c>
      <c r="D34" s="61" t="inlineStr">
        <is>
          <t>Poll</t>
        </is>
      </c>
      <c r="E34" s="65" t="inlineStr">
        <is>
          <t>Opinion</t>
        </is>
      </c>
      <c r="F34" s="63" t="inlineStr">
        <is>
          <t>2027: which sales ops task should AI take first?</t>
        </is>
      </c>
      <c r="G34" s="63" t="inlineStr">
        <is>
          <t>Which task should AI take off your plate?</t>
        </is>
      </c>
      <c r="H34" s="43" t="inlineStr"/>
    </row>
    <row r="35" ht="30" customHeight="1">
      <c r="A35" s="27" t="n">
        <v>11</v>
      </c>
      <c r="B35" s="57" t="n">
        <v>46371</v>
      </c>
      <c r="C35" s="27" t="inlineStr">
        <is>
          <t>Tue</t>
        </is>
      </c>
      <c r="D35" s="27" t="inlineStr">
        <is>
          <t>Carousel</t>
        </is>
      </c>
      <c r="E35" s="58" t="inlineStr">
        <is>
          <t>Claude how-to</t>
        </is>
      </c>
      <c r="F35" s="7" t="inlineStr">
        <is>
          <t>Build a Claude prompt library for your team</t>
        </is>
      </c>
      <c r="G35" s="7" t="inlineStr">
        <is>
          <t>Your team needs a prompt library, not more tools.</t>
        </is>
      </c>
      <c r="H35" s="43" t="inlineStr"/>
    </row>
    <row r="36" ht="30" customHeight="1">
      <c r="A36" s="27" t="n">
        <v>11</v>
      </c>
      <c r="B36" s="57" t="n">
        <v>46372</v>
      </c>
      <c r="C36" s="27" t="inlineStr">
        <is>
          <t>Wed</t>
        </is>
      </c>
      <c r="D36" s="27" t="inlineStr">
        <is>
          <t>Text + image</t>
        </is>
      </c>
      <c r="E36" s="64" t="inlineStr">
        <is>
          <t>Public sector</t>
        </is>
      </c>
      <c r="F36" s="7" t="inlineStr">
        <is>
          <t>Citizen service data: from backlog to dashboard</t>
        </is>
      </c>
      <c r="G36" s="7" t="inlineStr">
        <is>
          <t>A 6-month backlog, now on one dashboard.</t>
        </is>
      </c>
      <c r="H36" s="43" t="inlineStr"/>
    </row>
    <row r="37" ht="30" customHeight="1">
      <c r="A37" s="27" t="n">
        <v>11</v>
      </c>
      <c r="B37" s="57" t="n">
        <v>46373</v>
      </c>
      <c r="C37" s="27" t="inlineStr">
        <is>
          <t>Thu</t>
        </is>
      </c>
      <c r="D37" s="27" t="inlineStr">
        <is>
          <t>Video</t>
        </is>
      </c>
      <c r="E37" s="58" t="inlineStr">
        <is>
          <t>Claude how-to</t>
        </is>
      </c>
      <c r="F37" s="7" t="inlineStr">
        <is>
          <t>Demo: Claude drafts a QBR deck outline</t>
        </is>
      </c>
      <c r="G37" s="7" t="inlineStr">
        <is>
          <t>QBR deck outline in 3 minutes.</t>
        </is>
      </c>
      <c r="H37" s="43" t="inlineStr"/>
    </row>
    <row r="38" ht="30" customHeight="1">
      <c r="A38" s="61" t="n">
        <v>12</v>
      </c>
      <c r="B38" s="62" t="n">
        <v>46378</v>
      </c>
      <c r="C38" s="61" t="inlineStr">
        <is>
          <t>Tue</t>
        </is>
      </c>
      <c r="D38" s="61" t="inlineStr">
        <is>
          <t>Carousel</t>
        </is>
      </c>
      <c r="E38" s="58" t="inlineStr">
        <is>
          <t>Claude how-to</t>
        </is>
      </c>
      <c r="F38" s="63" t="inlineStr">
        <is>
          <t>Year in review: my 5 most-used Claude workflows</t>
        </is>
      </c>
      <c r="G38" s="63" t="inlineStr">
        <is>
          <t>The 5 Claude workflows I used most in 2026.</t>
        </is>
      </c>
      <c r="H38" s="43" t="inlineStr"/>
    </row>
    <row r="39" ht="30" customHeight="1">
      <c r="A39" s="61" t="n">
        <v>12</v>
      </c>
      <c r="B39" s="62" t="n">
        <v>46379</v>
      </c>
      <c r="C39" s="61" t="inlineStr">
        <is>
          <t>Wed</t>
        </is>
      </c>
      <c r="D39" s="61" t="inlineStr">
        <is>
          <t>Text + image</t>
        </is>
      </c>
      <c r="E39" s="59" t="inlineStr">
        <is>
          <t>Sales ops / CRM insight</t>
        </is>
      </c>
      <c r="F39" s="63" t="inlineStr">
        <is>
          <t>Sales ops metrics to track in 2027</t>
        </is>
      </c>
      <c r="G39" s="63" t="inlineStr">
        <is>
          <t>Track these 6 sales ops metrics in 2027.</t>
        </is>
      </c>
      <c r="H39" s="43" t="inlineStr"/>
    </row>
    <row r="40" ht="30" customHeight="1">
      <c r="A40" s="61" t="n">
        <v>12</v>
      </c>
      <c r="B40" s="62" t="n">
        <v>46380</v>
      </c>
      <c r="C40" s="61" t="inlineStr">
        <is>
          <t>Thu</t>
        </is>
      </c>
      <c r="D40" s="61" t="inlineStr">
        <is>
          <t>Personal</t>
        </is>
      </c>
      <c r="E40" s="60" t="inlineStr">
        <is>
          <t>Personal milestone</t>
        </is>
      </c>
      <c r="F40" s="63" t="inlineStr">
        <is>
          <t>13 weeks of posting: real numbers and lessons</t>
        </is>
      </c>
      <c r="G40" s="63" t="inlineStr">
        <is>
          <t>I posted 36 times in 13 weeks. Results inside.</t>
        </is>
      </c>
      <c r="H40" s="43" t="inlineStr"/>
    </row>
    <row r="41" ht="30" customHeight="1">
      <c r="A41" s="27" t="n">
        <v>13</v>
      </c>
      <c r="B41" s="57" t="n">
        <v>46385</v>
      </c>
      <c r="C41" s="27" t="inlineStr">
        <is>
          <t>Tue</t>
        </is>
      </c>
      <c r="D41" s="27" t="inlineStr">
        <is>
          <t>Carousel</t>
        </is>
      </c>
      <c r="E41" s="58" t="inlineStr">
        <is>
          <t>Claude how-to</t>
        </is>
      </c>
      <c r="F41" s="7" t="inlineStr">
        <is>
          <t>Plan your Q1 2027 sales ops with Claude</t>
        </is>
      </c>
      <c r="G41" s="7" t="inlineStr">
        <is>
          <t>Plan Q1 sales ops with one Claude chat.</t>
        </is>
      </c>
      <c r="H41" s="43" t="inlineStr"/>
    </row>
    <row r="42" ht="30" customHeight="1">
      <c r="A42" s="27" t="n">
        <v>13</v>
      </c>
      <c r="B42" s="57" t="n">
        <v>46386</v>
      </c>
      <c r="C42" s="27" t="inlineStr">
        <is>
          <t>Wed</t>
        </is>
      </c>
      <c r="D42" s="27" t="inlineStr">
        <is>
          <t>Text + image</t>
        </is>
      </c>
      <c r="E42" s="65" t="inlineStr">
        <is>
          <t>Opinion</t>
        </is>
      </c>
      <c r="F42" s="7" t="inlineStr">
        <is>
          <t>What I'll stop doing in 2027</t>
        </is>
      </c>
      <c r="G42" s="7" t="inlineStr">
        <is>
          <t>Three things I'm dropping in 2027.</t>
        </is>
      </c>
      <c r="H42" s="43" t="inlineStr"/>
    </row>
    <row r="43" ht="30" customHeight="1">
      <c r="A43" s="27" t="n">
        <v>13</v>
      </c>
      <c r="B43" s="57" t="n">
        <v>46387</v>
      </c>
      <c r="C43" s="27" t="inlineStr">
        <is>
          <t>Thu</t>
        </is>
      </c>
      <c r="D43" s="27" t="inlineStr">
        <is>
          <t>Poll</t>
        </is>
      </c>
      <c r="E43" s="65" t="inlineStr">
        <is>
          <t>Opinion</t>
        </is>
      </c>
      <c r="F43" s="7" t="inlineStr">
        <is>
          <t>What should the 2027 series cover?</t>
        </is>
      </c>
      <c r="G43" s="7" t="inlineStr">
        <is>
          <t>Choose next year's Claude series topic.</t>
        </is>
      </c>
      <c r="H43" s="43" t="inlineStr"/>
    </row>
    <row r="45">
      <c r="A45" s="54" t="inlineStr">
        <is>
          <t>Posted so far</t>
        </is>
      </c>
      <c r="D45" s="55">
        <f>COUNTIF(H5:H43,"Yes")&amp;" of "&amp;ROWS(H5:H43)</f>
        <v/>
      </c>
    </row>
  </sheetData>
  <mergeCells count="2">
    <mergeCell ref="A2:H2"/>
    <mergeCell ref="A1:H1"/>
  </mergeCells>
  <conditionalFormatting sqref="H5:H43">
    <cfRule type="cellIs" priority="1" operator="equal" dxfId="2">
      <formula>"Yes"</formula>
    </cfRule>
  </conditionalFormatting>
  <dataValidations count="1">
    <dataValidation sqref="H5 H6 H7 H8 H9 H10 H11 H12 H13 H14 H15 H16 H17 H18 H19 H20 H21 H22 H23 H24 H25 H26 H27 H28 H29 H30 H31 H32 H33 H34 H35 H36 H37 H38 H39 H40 H41 H42 H43" showDropDown="0" showInputMessage="0" showErrorMessage="0" allowBlank="1" type="list">
      <formula1>"Yes,No"</formula1>
    </dataValidation>
  </dataValidations>
  <pageMargins left="0.75" right="0.75" top="1" bottom="1" header="0.5" footer="0.5"/>
  <pageSetup orientation="landscape" fitToHeight="0" fitToWidth="1"/>
</worksheet>
</file>

<file path=xl/worksheets/sheet11.xml><?xml version="1.0" encoding="utf-8"?>
<worksheet xmlns="http://schemas.openxmlformats.org/spreadsheetml/2006/main">
  <sheetPr>
    <tabColor rgb="0070AD47"/>
    <outlinePr summaryBelow="1" summaryRight="1"/>
    <pageSetUpPr fitToPage="1"/>
  </sheetPr>
  <dimension ref="A1:K22"/>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12" customWidth="1" min="1" max="1"/>
    <col width="10" customWidth="1" min="2" max="2"/>
    <col width="13" customWidth="1" min="3" max="3"/>
    <col width="11" customWidth="1" min="4" max="4"/>
    <col width="11" customWidth="1" min="5" max="5"/>
    <col width="11" customWidth="1" min="6" max="6"/>
    <col width="12" customWidth="1" min="7" max="7"/>
    <col width="13" customWidth="1" min="8" max="8"/>
    <col width="13" customWidth="1" min="9" max="9"/>
    <col width="13" customWidth="1" min="10" max="10"/>
    <col width="13" customWidth="1" min="11" max="11"/>
  </cols>
  <sheetData>
    <row r="1" ht="32" customHeight="1">
      <c r="A1" s="1" t="inlineStr">
        <is>
          <t>Tracker: weekly scorecard vs targets (Oct to Dec 2026)</t>
        </is>
      </c>
    </row>
    <row r="2" ht="30" customHeight="1">
      <c r="A2" s="2" t="inlineStr">
        <is>
          <t>Every Monday, fill the yellow cells from LinkedIn Analytics (last 7 days). Cells turn green when you hit the target in row 5 and red when you miss it.</t>
        </is>
      </c>
    </row>
    <row r="4" ht="30" customHeight="1">
      <c r="A4" s="5" t="inlineStr">
        <is>
          <t>Week start</t>
        </is>
      </c>
      <c r="B4" s="5" t="inlineStr">
        <is>
          <t>Posts</t>
        </is>
      </c>
      <c r="C4" s="5" t="inlineStr">
        <is>
          <t>Impressions</t>
        </is>
      </c>
      <c r="D4" s="5" t="inlineStr">
        <is>
          <t>Reactions</t>
        </is>
      </c>
      <c r="E4" s="5" t="inlineStr">
        <is>
          <t>Comments</t>
        </is>
      </c>
      <c r="F4" s="5" t="inlineStr">
        <is>
          <t>Saves + sends</t>
        </is>
      </c>
      <c r="G4" s="5" t="inlineStr">
        <is>
          <t>Comments given</t>
        </is>
      </c>
      <c r="H4" s="5" t="inlineStr">
        <is>
          <t>New followers</t>
        </is>
      </c>
      <c r="I4" s="5" t="inlineStr">
        <is>
          <t>Profile views</t>
        </is>
      </c>
      <c r="J4" s="5" t="inlineStr">
        <is>
          <t>Eng. rate</t>
        </is>
      </c>
      <c r="K4" s="5" t="inlineStr">
        <is>
          <t>Impr. per post</t>
        </is>
      </c>
    </row>
    <row r="5">
      <c r="A5" s="32" t="inlineStr">
        <is>
          <t>TARGET</t>
        </is>
      </c>
      <c r="B5" s="32" t="n">
        <v>3</v>
      </c>
      <c r="C5" s="32" t="n">
        <v>1200</v>
      </c>
      <c r="D5" s="32" t="n"/>
      <c r="E5" s="32" t="n">
        <v>15</v>
      </c>
      <c r="F5" s="32" t="n"/>
      <c r="G5" s="32" t="n">
        <v>25</v>
      </c>
      <c r="H5" s="32" t="n">
        <v>10</v>
      </c>
      <c r="I5" s="32" t="n">
        <v>30</v>
      </c>
      <c r="J5" s="34" t="n">
        <v>0.035</v>
      </c>
      <c r="K5" s="32" t="n">
        <v>400</v>
      </c>
    </row>
    <row r="6">
      <c r="A6" s="31" t="n">
        <v>46300</v>
      </c>
      <c r="B6" s="44" t="n"/>
      <c r="C6" s="44" t="n"/>
      <c r="D6" s="44" t="n"/>
      <c r="E6" s="44" t="n"/>
      <c r="F6" s="44" t="n"/>
      <c r="G6" s="44" t="n"/>
      <c r="H6" s="44" t="n"/>
      <c r="I6" s="44" t="n"/>
      <c r="J6" s="29">
        <f>IF(N(C6)&gt;0,(N(D6)+N(E6))/C6,"")</f>
        <v/>
      </c>
      <c r="K6" s="25">
        <f>IF(N(B6)&gt;0,C6/B6,"")</f>
        <v/>
      </c>
    </row>
    <row r="7">
      <c r="A7" s="31" t="n">
        <v>46307</v>
      </c>
      <c r="B7" s="44" t="n"/>
      <c r="C7" s="44" t="n"/>
      <c r="D7" s="44" t="n"/>
      <c r="E7" s="44" t="n"/>
      <c r="F7" s="44" t="n"/>
      <c r="G7" s="44" t="n"/>
      <c r="H7" s="44" t="n"/>
      <c r="I7" s="44" t="n"/>
      <c r="J7" s="29">
        <f>IF(N(C7)&gt;0,(N(D7)+N(E7))/C7,"")</f>
        <v/>
      </c>
      <c r="K7" s="25">
        <f>IF(N(B7)&gt;0,C7/B7,"")</f>
        <v/>
      </c>
    </row>
    <row r="8">
      <c r="A8" s="31" t="n">
        <v>46314</v>
      </c>
      <c r="B8" s="44" t="n"/>
      <c r="C8" s="44" t="n"/>
      <c r="D8" s="44" t="n"/>
      <c r="E8" s="44" t="n"/>
      <c r="F8" s="44" t="n"/>
      <c r="G8" s="44" t="n"/>
      <c r="H8" s="44" t="n"/>
      <c r="I8" s="44" t="n"/>
      <c r="J8" s="29">
        <f>IF(N(C8)&gt;0,(N(D8)+N(E8))/C8,"")</f>
        <v/>
      </c>
      <c r="K8" s="25">
        <f>IF(N(B8)&gt;0,C8/B8,"")</f>
        <v/>
      </c>
    </row>
    <row r="9">
      <c r="A9" s="31" t="n">
        <v>46321</v>
      </c>
      <c r="B9" s="44" t="n"/>
      <c r="C9" s="44" t="n"/>
      <c r="D9" s="44" t="n"/>
      <c r="E9" s="44" t="n"/>
      <c r="F9" s="44" t="n"/>
      <c r="G9" s="44" t="n"/>
      <c r="H9" s="44" t="n"/>
      <c r="I9" s="44" t="n"/>
      <c r="J9" s="29">
        <f>IF(N(C9)&gt;0,(N(D9)+N(E9))/C9,"")</f>
        <v/>
      </c>
      <c r="K9" s="25">
        <f>IF(N(B9)&gt;0,C9/B9,"")</f>
        <v/>
      </c>
    </row>
    <row r="10">
      <c r="A10" s="31" t="n">
        <v>46328</v>
      </c>
      <c r="B10" s="44" t="n"/>
      <c r="C10" s="44" t="n"/>
      <c r="D10" s="44" t="n"/>
      <c r="E10" s="44" t="n"/>
      <c r="F10" s="44" t="n"/>
      <c r="G10" s="44" t="n"/>
      <c r="H10" s="44" t="n"/>
      <c r="I10" s="44" t="n"/>
      <c r="J10" s="29">
        <f>IF(N(C10)&gt;0,(N(D10)+N(E10))/C10,"")</f>
        <v/>
      </c>
      <c r="K10" s="25">
        <f>IF(N(B10)&gt;0,C10/B10,"")</f>
        <v/>
      </c>
    </row>
    <row r="11">
      <c r="A11" s="31" t="n">
        <v>46335</v>
      </c>
      <c r="B11" s="44" t="n"/>
      <c r="C11" s="44" t="n"/>
      <c r="D11" s="44" t="n"/>
      <c r="E11" s="44" t="n"/>
      <c r="F11" s="44" t="n"/>
      <c r="G11" s="44" t="n"/>
      <c r="H11" s="44" t="n"/>
      <c r="I11" s="44" t="n"/>
      <c r="J11" s="29">
        <f>IF(N(C11)&gt;0,(N(D11)+N(E11))/C11,"")</f>
        <v/>
      </c>
      <c r="K11" s="25">
        <f>IF(N(B11)&gt;0,C11/B11,"")</f>
        <v/>
      </c>
    </row>
    <row r="12">
      <c r="A12" s="31" t="n">
        <v>46342</v>
      </c>
      <c r="B12" s="44" t="n"/>
      <c r="C12" s="44" t="n"/>
      <c r="D12" s="44" t="n"/>
      <c r="E12" s="44" t="n"/>
      <c r="F12" s="44" t="n"/>
      <c r="G12" s="44" t="n"/>
      <c r="H12" s="44" t="n"/>
      <c r="I12" s="44" t="n"/>
      <c r="J12" s="29">
        <f>IF(N(C12)&gt;0,(N(D12)+N(E12))/C12,"")</f>
        <v/>
      </c>
      <c r="K12" s="25">
        <f>IF(N(B12)&gt;0,C12/B12,"")</f>
        <v/>
      </c>
    </row>
    <row r="13">
      <c r="A13" s="31" t="n">
        <v>46349</v>
      </c>
      <c r="B13" s="44" t="n"/>
      <c r="C13" s="44" t="n"/>
      <c r="D13" s="44" t="n"/>
      <c r="E13" s="44" t="n"/>
      <c r="F13" s="44" t="n"/>
      <c r="G13" s="44" t="n"/>
      <c r="H13" s="44" t="n"/>
      <c r="I13" s="44" t="n"/>
      <c r="J13" s="29">
        <f>IF(N(C13)&gt;0,(N(D13)+N(E13))/C13,"")</f>
        <v/>
      </c>
      <c r="K13" s="25">
        <f>IF(N(B13)&gt;0,C13/B13,"")</f>
        <v/>
      </c>
    </row>
    <row r="14">
      <c r="A14" s="31" t="n">
        <v>46356</v>
      </c>
      <c r="B14" s="44" t="n"/>
      <c r="C14" s="44" t="n"/>
      <c r="D14" s="44" t="n"/>
      <c r="E14" s="44" t="n"/>
      <c r="F14" s="44" t="n"/>
      <c r="G14" s="44" t="n"/>
      <c r="H14" s="44" t="n"/>
      <c r="I14" s="44" t="n"/>
      <c r="J14" s="29">
        <f>IF(N(C14)&gt;0,(N(D14)+N(E14))/C14,"")</f>
        <v/>
      </c>
      <c r="K14" s="25">
        <f>IF(N(B14)&gt;0,C14/B14,"")</f>
        <v/>
      </c>
    </row>
    <row r="15">
      <c r="A15" s="31" t="n">
        <v>46363</v>
      </c>
      <c r="B15" s="44" t="n"/>
      <c r="C15" s="44" t="n"/>
      <c r="D15" s="44" t="n"/>
      <c r="E15" s="44" t="n"/>
      <c r="F15" s="44" t="n"/>
      <c r="G15" s="44" t="n"/>
      <c r="H15" s="44" t="n"/>
      <c r="I15" s="44" t="n"/>
      <c r="J15" s="29">
        <f>IF(N(C15)&gt;0,(N(D15)+N(E15))/C15,"")</f>
        <v/>
      </c>
      <c r="K15" s="25">
        <f>IF(N(B15)&gt;0,C15/B15,"")</f>
        <v/>
      </c>
    </row>
    <row r="16">
      <c r="A16" s="31" t="n">
        <v>46370</v>
      </c>
      <c r="B16" s="44" t="n"/>
      <c r="C16" s="44" t="n"/>
      <c r="D16" s="44" t="n"/>
      <c r="E16" s="44" t="n"/>
      <c r="F16" s="44" t="n"/>
      <c r="G16" s="44" t="n"/>
      <c r="H16" s="44" t="n"/>
      <c r="I16" s="44" t="n"/>
      <c r="J16" s="29">
        <f>IF(N(C16)&gt;0,(N(D16)+N(E16))/C16,"")</f>
        <v/>
      </c>
      <c r="K16" s="25">
        <f>IF(N(B16)&gt;0,C16/B16,"")</f>
        <v/>
      </c>
    </row>
    <row r="17">
      <c r="A17" s="31" t="n">
        <v>46377</v>
      </c>
      <c r="B17" s="44" t="n"/>
      <c r="C17" s="44" t="n"/>
      <c r="D17" s="44" t="n"/>
      <c r="E17" s="44" t="n"/>
      <c r="F17" s="44" t="n"/>
      <c r="G17" s="44" t="n"/>
      <c r="H17" s="44" t="n"/>
      <c r="I17" s="44" t="n"/>
      <c r="J17" s="29">
        <f>IF(N(C17)&gt;0,(N(D17)+N(E17))/C17,"")</f>
        <v/>
      </c>
      <c r="K17" s="25">
        <f>IF(N(B17)&gt;0,C17/B17,"")</f>
        <v/>
      </c>
    </row>
    <row r="18">
      <c r="A18" s="31" t="n">
        <v>46384</v>
      </c>
      <c r="B18" s="44" t="n"/>
      <c r="C18" s="44" t="n"/>
      <c r="D18" s="44" t="n"/>
      <c r="E18" s="44" t="n"/>
      <c r="F18" s="44" t="n"/>
      <c r="G18" s="44" t="n"/>
      <c r="H18" s="44" t="n"/>
      <c r="I18" s="44" t="n"/>
      <c r="J18" s="29">
        <f>IF(N(C18)&gt;0,(N(D18)+N(E18))/C18,"")</f>
        <v/>
      </c>
      <c r="K18" s="25">
        <f>IF(N(B18)&gt;0,C18/B18,"")</f>
        <v/>
      </c>
    </row>
    <row r="19">
      <c r="A19" s="32" t="inlineStr">
        <is>
          <t>Q4 total</t>
        </is>
      </c>
      <c r="B19" s="33">
        <f>SUM(B6:B18)</f>
        <v/>
      </c>
      <c r="C19" s="33">
        <f>SUM(C6:C18)</f>
        <v/>
      </c>
      <c r="D19" s="33">
        <f>SUM(D6:D18)</f>
        <v/>
      </c>
      <c r="E19" s="33">
        <f>SUM(E6:E18)</f>
        <v/>
      </c>
      <c r="F19" s="33">
        <f>SUM(F6:F18)</f>
        <v/>
      </c>
      <c r="G19" s="33">
        <f>SUM(G6:G18)</f>
        <v/>
      </c>
      <c r="H19" s="33">
        <f>SUM(H6:H18)</f>
        <v/>
      </c>
      <c r="I19" s="33">
        <f>SUM(I6:I18)</f>
        <v/>
      </c>
      <c r="J19" s="34">
        <f>IF(N(C19)&gt;0,(D19+E19)/C19,"")</f>
        <v/>
      </c>
      <c r="K19" s="33">
        <f>IF(N(B19)&gt;0,C19/B19,"")</f>
        <v/>
      </c>
    </row>
    <row r="20">
      <c r="A20" s="66" t="inlineStr">
        <is>
          <t>vs Q1 + Q2 recorded</t>
        </is>
      </c>
      <c r="B20" s="66">
        <f>B19-COUNTA('Post Log'!$B$5:$B$40)</f>
        <v/>
      </c>
      <c r="C20" s="66">
        <f>C19-SUM('Weekly Data'!$D$5:$D$32)</f>
        <v/>
      </c>
      <c r="D20" s="66">
        <f>D19-SUM('Weekly Data'!$E$5:$E$32)</f>
        <v/>
      </c>
      <c r="E20" s="66">
        <f>E19-SUM('Weekly Data'!$F$5:$F$32)</f>
        <v/>
      </c>
    </row>
    <row r="22" ht="40" customHeight="1">
      <c r="A22" s="35" t="inlineStr">
        <is>
          <t>Where to find each number: LinkedIn &gt; Me &gt; Posts &amp; Activity &gt; Analytics. Impressions, Reactions, Comments, Saves and Sends are on the Content tab; New followers on the Followers tab; Profile views on 'Profile viewers'. 'Comments given' is your own count of comments on others' posts.</t>
        </is>
      </c>
    </row>
  </sheetData>
  <mergeCells count="3">
    <mergeCell ref="A2:K2"/>
    <mergeCell ref="A22:K22"/>
    <mergeCell ref="A1:K1"/>
  </mergeCells>
  <conditionalFormatting sqref="B6:B18">
    <cfRule type="expression" priority="1" dxfId="2">
      <formula>AND(ISNUMBER(B6),B6&gt;=B$5)</formula>
    </cfRule>
    <cfRule type="expression" priority="2" dxfId="0">
      <formula>AND(ISNUMBER(B6),B6&lt;B$5)</formula>
    </cfRule>
  </conditionalFormatting>
  <conditionalFormatting sqref="C6:C18">
    <cfRule type="expression" priority="3" dxfId="2">
      <formula>AND(ISNUMBER(C6),C6&gt;=C$5)</formula>
    </cfRule>
    <cfRule type="expression" priority="4" dxfId="0">
      <formula>AND(ISNUMBER(C6),C6&lt;C$5)</formula>
    </cfRule>
  </conditionalFormatting>
  <conditionalFormatting sqref="E6:E18">
    <cfRule type="expression" priority="5" dxfId="2">
      <formula>AND(ISNUMBER(E6),E6&gt;=E$5)</formula>
    </cfRule>
    <cfRule type="expression" priority="6" dxfId="0">
      <formula>AND(ISNUMBER(E6),E6&lt;E$5)</formula>
    </cfRule>
  </conditionalFormatting>
  <conditionalFormatting sqref="G6:G18">
    <cfRule type="expression" priority="7" dxfId="2">
      <formula>AND(ISNUMBER(G6),G6&gt;=G$5)</formula>
    </cfRule>
    <cfRule type="expression" priority="8" dxfId="0">
      <formula>AND(ISNUMBER(G6),G6&lt;G$5)</formula>
    </cfRule>
  </conditionalFormatting>
  <conditionalFormatting sqref="H6:H18">
    <cfRule type="expression" priority="9" dxfId="2">
      <formula>AND(ISNUMBER(H6),H6&gt;=H$5)</formula>
    </cfRule>
    <cfRule type="expression" priority="10" dxfId="0">
      <formula>AND(ISNUMBER(H6),H6&lt;H$5)</formula>
    </cfRule>
  </conditionalFormatting>
  <conditionalFormatting sqref="I6:I18">
    <cfRule type="expression" priority="11" dxfId="2">
      <formula>AND(ISNUMBER(I6),I6&gt;=I$5)</formula>
    </cfRule>
    <cfRule type="expression" priority="12" dxfId="0">
      <formula>AND(ISNUMBER(I6),I6&lt;I$5)</formula>
    </cfRule>
  </conditionalFormatting>
  <conditionalFormatting sqref="J6:J18">
    <cfRule type="expression" priority="13" dxfId="2">
      <formula>AND(ISNUMBER(J6),J6&gt;=J$5)</formula>
    </cfRule>
    <cfRule type="expression" priority="14" dxfId="0">
      <formula>AND(ISNUMBER(J6),J6&lt;J$5)</formula>
    </cfRule>
  </conditionalFormatting>
  <conditionalFormatting sqref="K6:K18">
    <cfRule type="expression" priority="15" dxfId="2">
      <formula>AND(ISNUMBER(K6),K6&gt;=K$5)</formula>
    </cfRule>
    <cfRule type="expression" priority="16" dxfId="0">
      <formula>AND(ISNUMBER(K6),K6&lt;K$5)</formula>
    </cfRule>
  </conditionalFormatting>
  <pageMargins left="0.75" right="0.75" top="1" bottom="1" header="0.5" footer="0.5"/>
  <pageSetup orientation="landscape" fitToHeight="0" fitToWidth="1"/>
  <legacyDrawing xmlns:r="http://schemas.openxmlformats.org/officeDocument/2006/relationships" r:id="anysvml"/>
</worksheet>
</file>

<file path=xl/worksheets/sheet12.xml><?xml version="1.0" encoding="utf-8"?>
<worksheet xmlns="http://schemas.openxmlformats.org/spreadsheetml/2006/main">
  <sheetPr>
    <tabColor rgb="007F7F7F"/>
    <outlinePr summaryBelow="1" summaryRight="1"/>
    <pageSetUpPr fitToPage="1"/>
  </sheetPr>
  <dimension ref="A1:C25"/>
  <sheetViews>
    <sheetView showGridLines="0" workbookViewId="0">
      <selection activeCell="A1" sqref="A1"/>
    </sheetView>
  </sheetViews>
  <sheetFormatPr baseColWidth="8" defaultRowHeight="15"/>
  <cols>
    <col width="34" customWidth="1" min="1" max="1"/>
    <col width="80" customWidth="1" min="2" max="2"/>
    <col width="14" customWidth="1" min="3" max="3"/>
  </cols>
  <sheetData>
    <row r="1" ht="32" customHeight="1">
      <c r="A1" s="1" t="inlineStr">
        <is>
          <t>Sources &amp; Gaps: where every number came from</t>
        </is>
      </c>
    </row>
    <row r="2" ht="30" customHeight="1">
      <c r="A2" s="2" t="inlineStr">
        <is>
          <t>Gathered by two research agents on 4 Oct 2026. Agent 1 searched your Gmail, Google Drive and the public web for your data. Agent 2 researched LinkedIn algorithm, benchmark and AI content studies.</t>
        </is>
      </c>
    </row>
    <row r="4" ht="30" customHeight="1">
      <c r="A4" s="5" t="inlineStr">
        <is>
          <t>Source checked</t>
        </is>
      </c>
      <c r="B4" s="5" t="inlineStr">
        <is>
          <t>What it gave us</t>
        </is>
      </c>
      <c r="C4" s="5" t="inlineStr">
        <is>
          <t>Useful?</t>
        </is>
      </c>
    </row>
    <row r="5" ht="60" customHeight="1">
      <c r="A5" s="24" t="inlineStr">
        <is>
          <t>Google Drive search (title contains LinkedIn/Content_/AggregateAnalytics/analytics; fullText Impressions/Engagements; owned xlsx/csv/Sheets)</t>
        </is>
      </c>
      <c r="B5" s="7" t="inlineStr">
        <is>
          <t>No LinkedIn analytics exports. Only unrelated files (a shared 'Linkedin Lead Gen.json' n8n workflow, course PDFs, other people's guides). User owns no spreadsheets/CSVs in Drive.</t>
        </is>
      </c>
      <c r="C5" s="27" t="inlineStr">
        <is>
          <t>No</t>
        </is>
      </c>
    </row>
    <row r="6" ht="60" customHeight="1">
      <c r="A6" s="24" t="inlineStr">
        <is>
          <t>Gmail from:linkedin.com after:2026/01/01 before:2026/07/20 (also in:anywhere)</t>
        </is>
      </c>
      <c r="B6" s="7" t="inlineStr">
        <is>
          <t>29 threads total, all opened or triaged. 5 weekly creator analytics recaps (weeks of 03/02, 03/23, 03/30, 04/13, 06/29) with impressions/comments/reactions read from HTML body; 2 'commented on your post' notifications with running reaction/comment totals for one post; 3 'replied to your comment' notifications (your comments on others' posts); rest are security, job alerts, newsletters, network digests, Premium/survey promos. No Jan or Feb content/analytics emails at all.</t>
        </is>
      </c>
      <c r="C6" s="27" t="inlineStr">
        <is>
          <t>Yes</t>
        </is>
      </c>
    </row>
    <row r="7" ht="60" customHeight="1">
      <c r="A7" s="24" t="inlineStr">
        <is>
          <t>Gmail keyword search (linkedin + impressions/profile views/viewed your profile/search appearances/followers/your post), 2025-12-25 to 2026-07-20</t>
        </is>
      </c>
      <c r="B7" s="7" t="inlineStr">
        <is>
          <t>Nothing beyond the same weekly recaps and comment notifications; no profile-view, search-appearance or follower-milestone emails exist in the mailbox for the window.</t>
        </is>
      </c>
      <c r="C7" s="27" t="inlineStr">
        <is>
          <t>No</t>
        </is>
      </c>
    </row>
    <row r="8" ht="60" customHeight="1">
      <c r="A8" s="24" t="inlineStr">
        <is>
          <t>WebSearch: "Shrikant Ahire" LinkedIn 2026; "shrikant-ahire87" OR "Shrikant Ahire" Bramasol; site:linkedin.com/posts shrikant-ahire87</t>
        </is>
      </c>
      <c r="B8" s="7" t="inlineStr">
        <is>
          <t>No publicly indexed posts or profile for this person; results were other people named Shrikant/Ahire.</t>
        </is>
      </c>
      <c r="C8" s="27" t="inlineStr">
        <is>
          <t>No</t>
        </is>
      </c>
    </row>
    <row r="9" ht="60" customHeight="1">
      <c r="A9" s="24" t="inlineStr">
        <is>
          <t>WebFetch linkedin.com/in/shrikant-ahire87/recent-activity</t>
        </is>
      </c>
      <c r="B9" s="7" t="inlineStr">
        <is>
          <t>Blocked by egress proxy (EGRESS_BLOCKED), as expected.</t>
        </is>
      </c>
      <c r="C9" s="27" t="inlineStr">
        <is>
          <t>No</t>
        </is>
      </c>
    </row>
    <row r="11" ht="22" customHeight="1">
      <c r="A11" s="16" t="inlineStr">
        <is>
          <t>DATA GAPS AND HOW TO CLOSE THEM</t>
        </is>
      </c>
    </row>
    <row r="12" ht="32" customHeight="1">
      <c r="A12" s="7" t="inlineStr">
        <is>
          <t>No LinkedIn analytics export (Content_/AggregateAnalytics xlsx) exists in Google Drive; exact monthly impressions, members reached, engagements and followers are unavailable. Export from LinkedIn &gt; Analytics &gt; Content/Followers (Past 365 days) would fill this.</t>
        </is>
      </c>
    </row>
    <row r="13" ht="32" customHeight="1">
      <c r="A13" s="7" t="inlineStr">
        <is>
          <t>No follower counts (total or new) in any source.</t>
        </is>
      </c>
    </row>
    <row r="14" ht="32" customHeight="1">
      <c r="A14" s="7" t="inlineStr">
        <is>
          <t>No profile-view or search-appearance numbers in any source (no 'who viewed your profile' or search-appearance emails received).</t>
        </is>
      </c>
    </row>
    <row r="15" ht="32" customHeight="1">
      <c r="A15" s="7" t="inlineStr">
        <is>
          <t>No weekly recaps for weeks 03/09-03/22, 04/06-04/12, 04/20-06/28; LinkedIn only emails recaps intermittently, so monthly totals cannot be summed.</t>
        </is>
      </c>
    </row>
    <row r="16" ht="32" customHeight="1">
      <c r="A16" s="7" t="inlineStr">
        <is>
          <t>Impressions for the Bramasol post itself are not stated (only weekly totals); reposts unknown.</t>
        </is>
      </c>
    </row>
    <row r="17" ht="32" customHeight="1">
      <c r="A17" s="7" t="inlineStr">
        <is>
          <t>Whether any other posts were published in Q1/Q2 cannot be confirmed; LinkedIn notifications only surfaced the one post.</t>
        </is>
      </c>
    </row>
    <row r="18" ht="32" customHeight="1">
      <c r="A18" s="7" t="inlineStr">
        <is>
          <t>linkedin.com is blocked by the proxy and no posts are publicly indexed by search engines, so post content, format and visible counts could not be verified on the web.</t>
        </is>
      </c>
    </row>
    <row r="20" ht="22" customHeight="1">
      <c r="A20" s="3" t="inlineStr">
        <is>
          <t>HOW TO EXPORT YOUR LINKEDIN DATA (5 minutes)</t>
        </is>
      </c>
    </row>
    <row r="21" ht="28" customHeight="1">
      <c r="A21" s="42" t="inlineStr">
        <is>
          <t>1. On desktop, go to Me &gt; Posts &amp; Activity &gt; Analytics (or linkedin.com/analytics/creator/content).</t>
        </is>
      </c>
    </row>
    <row r="22" ht="28" customHeight="1">
      <c r="A22" s="42" t="inlineStr">
        <is>
          <t>2. Content tab: set the range to 1 Jan to 30 Jun 2026 (or Past 365 days) and click Export. The file has daily impressions and engagements, top posts and demographics.</t>
        </is>
      </c>
    </row>
    <row r="23" ht="28" customHeight="1">
      <c r="A23" s="42" t="inlineStr">
        <is>
          <t>3. Followers tab: export the same range for daily new followers and total followers.</t>
        </is>
      </c>
    </row>
    <row r="24" ht="28" customHeight="1">
      <c r="A24" s="42" t="inlineStr">
        <is>
          <t>4. Paste top posts into Post Log (yellow rows) and weekly totals into Weekly Data (grey rows). The Dashboard updates by itself.</t>
        </is>
      </c>
    </row>
    <row r="25" ht="28" customHeight="1">
      <c r="A25" s="42" t="inlineStr">
        <is>
          <t>5. Or save the files to Google Drive with 'LinkedIn' in the name and ask Claude to fill the workbook for you.</t>
        </is>
      </c>
    </row>
  </sheetData>
  <mergeCells count="16">
    <mergeCell ref="A25:C25"/>
    <mergeCell ref="A13:C13"/>
    <mergeCell ref="A11:C11"/>
    <mergeCell ref="A1:C1"/>
    <mergeCell ref="A16:C16"/>
    <mergeCell ref="A23:C23"/>
    <mergeCell ref="A14:C14"/>
    <mergeCell ref="A22:C22"/>
    <mergeCell ref="A17:C17"/>
    <mergeCell ref="A18:C18"/>
    <mergeCell ref="A21:C21"/>
    <mergeCell ref="A12:C12"/>
    <mergeCell ref="A20:C20"/>
    <mergeCell ref="A24:C24"/>
    <mergeCell ref="A2:C2"/>
    <mergeCell ref="A15:C15"/>
  </mergeCells>
  <conditionalFormatting sqref="C5:C9">
    <cfRule type="cellIs" priority="1" operator="equal" dxfId="2">
      <formula>"Yes"</formula>
    </cfRule>
    <cfRule type="cellIs" priority="2" operator="equal" dxfId="4">
      <formula>"No"</formula>
    </cfRule>
  </conditionalFormatting>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2026-10-04T13:08:21Z</dcterms:created>
  <dcterms:modified xsi:type="dcterms:W3CDTF">2026-10-04T13:08:21Z</dcterms:modified>
</cp:coreProperties>
</file>